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ortada" sheetId="1" state="visible" r:id="rId3"/>
    <sheet name="Ingresos" sheetId="2" state="visible" r:id="rId4"/>
    <sheet name="Gastos" sheetId="3" state="visible" r:id="rId5"/>
    <sheet name="Resumen Mensual" sheetId="4" state="visible" r:id="rId6"/>
    <sheet name="IVU Mensual" sheetId="5" state="visible" r:id="rId7"/>
    <sheet name="Contribución sobre Ingresos" sheetId="6" state="visible" r:id="rId8"/>
    <sheet name="Guía y Fecha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<sst xmlns="http://schemas.openxmlformats.org/spreadsheetml/2006/main" count="115" uniqueCount="93">
  <si>
    <t xml:space="preserve">Evergreen Love L.L.C.</t>
  </si>
  <si>
    <t xml:space="preserve">Libro de Contabilidad e Impuestos</t>
  </si>
  <si>
    <t xml:space="preserve">Guaynabo, Puerto Rico  •  Preparado para uso interno del negocio</t>
  </si>
  <si>
    <t xml:space="preserve">Cómo usar este libro</t>
  </si>
  <si>
    <t xml:space="preserve">1.  Registra cada venta en la pestaña 'Ingresos' y cada gasto en la pestaña 'Gastos'. Esas dos pestañas son las únicas donde debes escribir información nueva.</t>
  </si>
  <si>
    <t xml:space="preserve">2.  Las pestañas 'Resumen Mensual', 'IVU Mensual' y 'Contribución sobre Ingresos' se calculan solas con fórmulas — no escribas datos ahí, solo revisa los resultados.</t>
  </si>
  <si>
    <t xml:space="preserve">3.  Cambia el año en la celda amarilla de cada pestaña de resumen si vas a trabajar un año distinto (por ejemplo, 2025 vs. 2026).</t>
  </si>
  <si>
    <t xml:space="preserve">4.  Lee la pestaña 'Guía y Fechas' para las fechas límite de las planillas de IVU y de Contribución sobre Ingresos.</t>
  </si>
  <si>
    <t xml:space="preserve">Código de colores</t>
  </si>
  <si>
    <t xml:space="preserve">Amarillo = celda que debes llenar o revisar (ej. el año)</t>
  </si>
  <si>
    <t xml:space="preserve">Blanco con borde = celdas de fórmula, no editar</t>
  </si>
  <si>
    <t xml:space="preserve">Aviso importante: Esta herramienta es una ayuda de organización contable. Evergreen Love L.L.C. debe confirmar con un(a) Contador(a) Público(a) Autorizado(a) (CPA) en Puerto Rico la clasificación contributiva correcta de la LLC (corporación, sociedad o entidad no tomada en cuenta) y la preparación final de las planillas ante el Departamento de Hacienda. Este archivo no sustituye asesoría profesional de contabilidad o legal.</t>
  </si>
  <si>
    <t xml:space="preserve">Sincronización con Shopify (www.evergreenlovepr.com)</t>
  </si>
  <si>
    <t xml:space="preserve">Cada mes, antes del día 20 (fecha límite de IVU), se revisan automáticamente las órdenes nuevas de la tienda Shopify y se agregan a la pestaña 'Ingresos' con Fuente = 'Shopify' y su número de orden en la columna 'ID de Orden'. Las ventas que no pasan por la tienda (efectivo, ATH Móvil, ferias, etc.) las sigues anotando tú manualmente con Fuente = 'Manual'. Así el archivo en tu carpeta siempre está listo para revisar y usar en tus planillas de IVU y de Contribución sobre Ingresos.</t>
  </si>
  <si>
    <t xml:space="preserve">Fecha</t>
  </si>
  <si>
    <t xml:space="preserve">Cliente</t>
  </si>
  <si>
    <t xml:space="preserve">Descripción</t>
  </si>
  <si>
    <t xml:space="preserve">Categoría de Producto</t>
  </si>
  <si>
    <t xml:space="preserve">Método de Pago</t>
  </si>
  <si>
    <t xml:space="preserve">¿Sujeto a IVU?</t>
  </si>
  <si>
    <t xml:space="preserve">Monto de Venta (sin IVU)</t>
  </si>
  <si>
    <t xml:space="preserve">IVU Cobrado</t>
  </si>
  <si>
    <t xml:space="preserve">Total Cobrado</t>
  </si>
  <si>
    <t xml:space="preserve">Fuente</t>
  </si>
  <si>
    <t xml:space="preserve">ID de Orden (Shopify)</t>
  </si>
  <si>
    <t xml:space="preserve">Manual</t>
  </si>
  <si>
    <t xml:space="preserve">↑ Fila 2 es un ejemplo (texto azul). Bórrala o sobrescríbela y continúa agregando tus ventas reales debajo.</t>
  </si>
  <si>
    <t xml:space="preserve">Proveedor/Comercio</t>
  </si>
  <si>
    <t xml:space="preserve">Categoría de Gasto</t>
  </si>
  <si>
    <t xml:space="preserve">Monto</t>
  </si>
  <si>
    <t xml:space="preserve">¿Deducible?</t>
  </si>
  <si>
    <t xml:space="preserve">IVU Pagado (crédito potencial)</t>
  </si>
  <si>
    <t xml:space="preserve">↑ Fila 2 es un ejemplo (texto azul). Bórrala o sobrescríbela y continúa agregando tus gastos reales debajo.</t>
  </si>
  <si>
    <t xml:space="preserve">Resumen Mensual de Ingresos y Gastos</t>
  </si>
  <si>
    <t xml:space="preserve">Año:</t>
  </si>
  <si>
    <t xml:space="preserve">Mes</t>
  </si>
  <si>
    <t xml:space="preserve">Ingresos Totales</t>
  </si>
  <si>
    <t xml:space="preserve">Gastos Totales</t>
  </si>
  <si>
    <t xml:space="preserve">Utilidad Neta</t>
  </si>
  <si>
    <t xml:space="preserve">Inicio</t>
  </si>
  <si>
    <t xml:space="preserve">Fin</t>
  </si>
  <si>
    <t xml:space="preserve">Enero</t>
  </si>
  <si>
    <t xml:space="preserve">Febrero</t>
  </si>
  <si>
    <t xml:space="preserve">Marzo</t>
  </si>
  <si>
    <t xml:space="preserve">Abril</t>
  </si>
  <si>
    <t xml:space="preserve">Mayo</t>
  </si>
  <si>
    <t xml:space="preserve">Junio</t>
  </si>
  <si>
    <t xml:space="preserve">Julio</t>
  </si>
  <si>
    <t xml:space="preserve">Agosto</t>
  </si>
  <si>
    <t xml:space="preserve">Septiembre</t>
  </si>
  <si>
    <t xml:space="preserve">Octubre</t>
  </si>
  <si>
    <t xml:space="preserve">Noviembre</t>
  </si>
  <si>
    <t xml:space="preserve">Diciembre</t>
  </si>
  <si>
    <t xml:space="preserve">TOTAL</t>
  </si>
  <si>
    <t xml:space="preserve">Planilla Mensual de IVU — Hoja de Trabajo (Formulario SC 2915)</t>
  </si>
  <si>
    <t xml:space="preserve">Radica en SURI antes del día 20 del mes siguiente. Esta hoja resume tus ventas y compras del mes para ayudarte a completar la planilla; el número final debe verificarse en SURI.</t>
  </si>
  <si>
    <t xml:space="preserve">Ventas Sujetas a IVU</t>
  </si>
  <si>
    <t xml:space="preserve">Ventas Exentas</t>
  </si>
  <si>
    <t xml:space="preserve">IVU Cobrado (Ventas)</t>
  </si>
  <si>
    <t xml:space="preserve">IVU Pagado en Compras (Crédito)</t>
  </si>
  <si>
    <t xml:space="preserve">IVU Neto a Remitir</t>
  </si>
  <si>
    <t xml:space="preserve">Nota: la tasa combinada de IVU en Puerto Rico es 10.5% estatal + 1% municipal = 11.5% en la mayoría de los artículos tangibles. Algunos servicios y productos tienen tasas distintas (ej. alimentos preparados 7%, servicios B2B 4%). Confirma la tasa correcta por transacción al registrar tus ventas en la pestaña Ingresos.</t>
  </si>
  <si>
    <t xml:space="preserve">Resumen Anual — Contribución sobre Ingresos</t>
  </si>
  <si>
    <t xml:space="preserve">Ingresos</t>
  </si>
  <si>
    <t xml:space="preserve">Ingresos Totales del Negocio</t>
  </si>
  <si>
    <t xml:space="preserve">Gastos por Categoría</t>
  </si>
  <si>
    <t xml:space="preserve">Categoría</t>
  </si>
  <si>
    <t xml:space="preserve">Materiales y Suministros</t>
  </si>
  <si>
    <t xml:space="preserve">Herramientas y Equipo</t>
  </si>
  <si>
    <t xml:space="preserve">Mercadeo y Publicidad</t>
  </si>
  <si>
    <t xml:space="preserve">Transporte y Millaje</t>
  </si>
  <si>
    <t xml:space="preserve">Servicios Profesionales (contable/legal)</t>
  </si>
  <si>
    <t xml:space="preserve">Renta y Utilidades</t>
  </si>
  <si>
    <t xml:space="preserve">Empaque y Envío</t>
  </si>
  <si>
    <t xml:space="preserve">Comisiones de Plataforma (Shopify/Etsy/pasarela de pago)</t>
  </si>
  <si>
    <t xml:space="preserve">Seguros</t>
  </si>
  <si>
    <t xml:space="preserve">Misceláneos</t>
  </si>
  <si>
    <t xml:space="preserve">Total Gastos</t>
  </si>
  <si>
    <t xml:space="preserve">Utilidad Neta antes de Contribuciones</t>
  </si>
  <si>
    <t xml:space="preserve">¿Qué planilla corresponde? Depende de cómo esté clasificada Evergreen Love L.L.C. ante Hacienda:
• Si no se hizo elección especial, Hacienda trata la LLC como CORPORACIÓN → Formulario 480.20 (Planilla de Contribución sobre Ingresos de Corporaciones).
• Si se eligió tributar como SOCIEDAD (partnership) bajo la Sección 1010.05 → Formulario 480.10(SE)/480.6 y cada socio reporta su participación distributiva.
• Si se eligió ENTIDAD NO TOMADA EN CUENTA (disregarded entity, un solo dueño) → los ingresos y gastos de este resumen se reportan en la Planilla Individual (Formulario 482) de Myriam, usualmente en el Anejo de negocio propio.
Confirma la clasificación de la LLC con tu CPA antes de radicar — este resumen te da los números, no la forma legal de reportarlos.</t>
  </si>
  <si>
    <t xml:space="preserve">Guía Rápida — Planillas de Evergreen Love L.L.C.</t>
  </si>
  <si>
    <t xml:space="preserve">Planilla</t>
  </si>
  <si>
    <t xml:space="preserve">Detalle</t>
  </si>
  <si>
    <t xml:space="preserve">IVU Mensual (Formulario SC 2915)</t>
  </si>
  <si>
    <t xml:space="preserve">Se radica en línea a través de SURI (Sistema Unificado de Rentas Internas). Fecha límite: día 20 de cada mes, reportando las ventas del mes anterior. Usa la pestaña 'IVU Mensual' de este libro como hoja de trabajo.</t>
  </si>
  <si>
    <t xml:space="preserve">Tasa de IVU en Puerto Rico</t>
  </si>
  <si>
    <t xml:space="preserve">10.5% estatal + 1% municipal = 11.5% combinado en la mayoría de los bienes tangibles vendidos en Guaynabo. Algunos servicios/artículos tienen tasas especiales (ej. alimentos preparados 7%, servicios B2B 4%, artículos exentos 0%). Verifica la tasa aplicable a cada producto/servicio antes de cobrar.</t>
  </si>
  <si>
    <t xml:space="preserve">Contribución sobre Ingresos</t>
  </si>
  <si>
    <t xml:space="preserve">Planilla anual ante el Departamento de Hacienda. El formulario correcto (480.20 Corporación, 480.10/480.6 Sociedad, o Individual 482 si es entidad no tomada en cuenta) depende de la clasificación contributiva elegida para la LLC. Usualmente vence el 15 de abril siguiente al año contributivo, con posibilidad de prórroga automática. Verifica la fecha exacta y el formulario en hacienda.pr.gov o con tu CPA, ya que puede variar según la clasificación y si se radicó prórroga.</t>
  </si>
  <si>
    <t xml:space="preserve">Registro de Comerciante / Patente Municipal</t>
  </si>
  <si>
    <t xml:space="preserve">Verifica anualmente con el Municipio de Guaynabo si aplica la Declaración de Volumen de Negocios para la Patente Municipal (usualmente antes del 15 de abril).</t>
  </si>
  <si>
    <t xml:space="preserve">Recordatorio</t>
  </si>
  <si>
    <t xml:space="preserve">Este libro organiza tus números pero no sustituye a un CPA. Antes de radicar cualquier planilla, confirma cifras, clasificación de la entidad y deducciones permitidas con un profesional de contabilidad en Puerto Rico.</t>
  </si>
</sst>
</file>

<file path=xl/styles.xml><?xml version="1.0" encoding="utf-8"?>
<styleSheet xmlns="http://schemas.openxmlformats.org/spreadsheetml/2006/main">
  <numFmts count="4">
    <numFmt numFmtId="164" formatCode="General"/>
    <numFmt numFmtId="165" formatCode="yyyy\-mm\-dd"/>
    <numFmt numFmtId="166" formatCode="\$#,##0.00"/>
    <numFmt numFmtId="167" formatCode="mm/dd/yy"/>
  </numFmts>
  <fonts count="20">
    <font>
      <sz val="11"/>
      <color theme="1"/>
      <name val="Calibri"/>
      <family val="2"/>
      <charset val="1"/>
    </font>
    <font>
      <sz val="10"/>
      <name val="Arial"/>
      <family val="0"/>
    </font>
    <font>
      <sz val="10"/>
      <name val="Arial"/>
      <family val="0"/>
    </font>
    <font>
      <sz val="10"/>
      <name val="Arial"/>
      <family val="0"/>
    </font>
    <font>
      <b val="true"/>
      <sz val="16"/>
      <color rgb="FF1F3B33"/>
      <name val="Arial"/>
      <family val="0"/>
      <charset val="1"/>
    </font>
    <font>
      <b val="true"/>
      <sz val="13"/>
      <color rgb="FF2E7D32"/>
      <name val="Arial"/>
      <family val="0"/>
      <charset val="1"/>
    </font>
    <font>
      <i val="true"/>
      <sz val="10"/>
      <color rgb="FF555555"/>
      <name val="Arial"/>
      <family val="0"/>
      <charset val="1"/>
    </font>
    <font>
      <b val="true"/>
      <sz val="12"/>
      <color rgb="FF2E7D32"/>
      <name val="Arial"/>
      <family val="0"/>
      <charset val="1"/>
    </font>
    <font>
      <sz val="10"/>
      <color rgb="FF000000"/>
      <name val="Arial"/>
      <family val="0"/>
      <charset val="1"/>
    </font>
    <font>
      <sz val="10"/>
      <name val="Arial"/>
      <family val="0"/>
      <charset val="1"/>
    </font>
    <font>
      <i val="true"/>
      <sz val="10"/>
      <color rgb="FFB71C1C"/>
      <name val="Arial"/>
      <family val="0"/>
      <charset val="1"/>
    </font>
    <font>
      <b val="true"/>
      <sz val="11"/>
      <color rgb="FFFFFFFF"/>
      <name val="Arial"/>
      <family val="0"/>
      <charset val="1"/>
    </font>
    <font>
      <sz val="11"/>
      <color rgb="FF0000FF"/>
      <name val="Arial"/>
      <family val="0"/>
      <charset val="1"/>
    </font>
    <font>
      <i val="true"/>
      <sz val="9"/>
      <color rgb="FF555555"/>
      <name val="Arial"/>
      <family val="0"/>
      <charset val="1"/>
    </font>
    <font>
      <b val="true"/>
      <sz val="14"/>
      <color rgb="FF1F3B33"/>
      <name val="Arial"/>
      <family val="0"/>
      <charset val="1"/>
    </font>
    <font>
      <b val="true"/>
      <sz val="11"/>
      <name val="Arial"/>
      <family val="0"/>
      <charset val="1"/>
    </font>
    <font>
      <sz val="11"/>
      <name val="Arial"/>
      <family val="0"/>
      <charset val="1"/>
    </font>
    <font>
      <b val="true"/>
      <sz val="12"/>
      <name val="Arial"/>
      <family val="0"/>
      <charset val="1"/>
    </font>
    <font>
      <b val="true"/>
      <sz val="10"/>
      <color rgb="FFFFFFFF"/>
      <name val="Arial"/>
      <family val="0"/>
      <charset val="1"/>
    </font>
    <font>
      <b val="true"/>
      <sz val="11"/>
      <color rgb="FF1F3B33"/>
      <name val="Arial"/>
      <family val="0"/>
      <charset val="1"/>
    </font>
  </fonts>
  <fills count="6">
    <fill>
      <patternFill patternType="none"/>
    </fill>
    <fill>
      <patternFill patternType="gray125"/>
    </fill>
    <fill>
      <patternFill patternType="solid">
        <fgColor rgb="FFFFF9C4"/>
        <bgColor rgb="FFFFFF99"/>
      </patternFill>
    </fill>
    <fill>
      <patternFill patternType="solid">
        <fgColor rgb="FFFFFFFF"/>
        <bgColor rgb="FFE8F5E9"/>
      </patternFill>
    </fill>
    <fill>
      <patternFill patternType="solid">
        <fgColor rgb="FF1F3B33"/>
        <bgColor rgb="FF333300"/>
      </patternFill>
    </fill>
    <fill>
      <patternFill patternType="solid">
        <fgColor rgb="FFE8F5E9"/>
        <bgColor rgb="FFFFFFFF"/>
      </patternFill>
    </fill>
  </fills>
  <borders count="3">
    <border diagonalUp="false" diagonalDown="false">
      <left/>
      <right/>
      <top/>
      <bottom/>
      <diagonal/>
    </border>
    <border diagonalUp="false" diagonalDown="false">
      <left/>
      <right/>
      <top/>
      <bottom style="thin"/>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5" fontId="12"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6" fontId="12" fillId="0" borderId="0" xfId="0" applyFont="tru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5" fillId="2" borderId="0" xfId="0" applyFont="true" applyBorder="false" applyAlignment="true" applyProtection="false">
      <alignment horizontal="center"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6" fontId="15" fillId="0" borderId="2" xfId="0" applyFont="true" applyBorder="true" applyAlignment="true" applyProtection="false">
      <alignment horizontal="general" vertical="bottom" textRotation="0" wrapText="false" indent="0" shrinkToFit="false"/>
      <protection locked="true" hidden="false"/>
    </xf>
    <xf numFmtId="166" fontId="15"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6" fontId="17" fillId="5" borderId="0" xfId="0" applyFont="true" applyBorder="false" applyAlignment="true" applyProtection="false">
      <alignment horizontal="general" vertical="bottom" textRotation="0" wrapText="false" indent="0" shrinkToFit="false"/>
      <protection locked="true" hidden="false"/>
    </xf>
    <xf numFmtId="164" fontId="11" fillId="4" borderId="0" xfId="0" applyFont="true" applyBorder="false" applyAlignment="true" applyProtection="false">
      <alignment horizontal="general" vertical="top" textRotation="0" wrapText="true" indent="0" shrinkToFit="false"/>
      <protection locked="true" hidden="false"/>
    </xf>
    <xf numFmtId="164" fontId="18" fillId="4" borderId="0" xfId="0" applyFont="true" applyBorder="false" applyAlignment="true" applyProtection="false">
      <alignment horizontal="general" vertical="top" textRotation="0" wrapText="true" indent="0" shrinkToFit="false"/>
      <protection locked="true" hidden="false"/>
    </xf>
    <xf numFmtId="164" fontId="19"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9C4"/>
      <rgbColor rgb="FFE8F5E9"/>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2E7D32"/>
      <rgbColor rgb="FF003300"/>
      <rgbColor rgb="FF333300"/>
      <rgbColor rgb="FFB71C1C"/>
      <rgbColor rgb="FF993366"/>
      <rgbColor rgb="FF333399"/>
      <rgbColor rgb="FF1F3B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95"/>
  </cols>
  <sheetData>
    <row r="2" customFormat="false" ht="19.5" hidden="false" customHeight="true" outlineLevel="0" collapsed="false">
      <c r="B2" s="2" t="s">
        <v>0</v>
      </c>
    </row>
    <row r="3" customFormat="false" ht="15.75" hidden="false" customHeight="true" outlineLevel="0" collapsed="false">
      <c r="B3" s="3" t="s">
        <v>1</v>
      </c>
    </row>
    <row r="4" customFormat="false" ht="15" hidden="false" customHeight="true" outlineLevel="0" collapsed="false">
      <c r="B4" s="4" t="s">
        <v>2</v>
      </c>
    </row>
    <row r="6" customFormat="false" ht="15" hidden="false" customHeight="true" outlineLevel="0" collapsed="false">
      <c r="B6" s="5" t="s">
        <v>3</v>
      </c>
    </row>
    <row r="7" customFormat="false" ht="27.75" hidden="false" customHeight="true" outlineLevel="0" collapsed="false">
      <c r="B7" s="6" t="s">
        <v>4</v>
      </c>
    </row>
    <row r="8" customFormat="false" ht="27.75" hidden="false" customHeight="true" outlineLevel="0" collapsed="false">
      <c r="B8" s="6" t="s">
        <v>5</v>
      </c>
    </row>
    <row r="9" customFormat="false" ht="27.75" hidden="false" customHeight="true" outlineLevel="0" collapsed="false">
      <c r="B9" s="6" t="s">
        <v>6</v>
      </c>
    </row>
    <row r="10" customFormat="false" ht="27.75" hidden="false" customHeight="true" outlineLevel="0" collapsed="false">
      <c r="B10" s="6" t="s">
        <v>7</v>
      </c>
    </row>
    <row r="12" customFormat="false" ht="15" hidden="false" customHeight="true" outlineLevel="0" collapsed="false">
      <c r="B12" s="7" t="s">
        <v>8</v>
      </c>
    </row>
    <row r="13" customFormat="false" ht="15" hidden="false" customHeight="true" outlineLevel="0" collapsed="false">
      <c r="B13" s="8"/>
      <c r="C13" s="9" t="s">
        <v>9</v>
      </c>
    </row>
    <row r="14" customFormat="false" ht="15" hidden="false" customHeight="true" outlineLevel="0" collapsed="false">
      <c r="B14" s="10"/>
      <c r="C14" s="9" t="s">
        <v>10</v>
      </c>
    </row>
    <row r="17" customFormat="false" ht="60" hidden="false" customHeight="true" outlineLevel="0" collapsed="false">
      <c r="B17" s="11" t="s">
        <v>11</v>
      </c>
    </row>
    <row r="19" customFormat="false" ht="15" hidden="false" customHeight="true" outlineLevel="0" collapsed="false">
      <c r="B19" s="7" t="s">
        <v>12</v>
      </c>
    </row>
    <row r="20" customFormat="false" ht="60" hidden="false" customHeight="true" outlineLevel="0" collapsed="false">
      <c r="B20" s="12" t="s">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2"/>
    <col collapsed="false" customWidth="true" hidden="false" outlineLevel="0" max="2" min="2" style="1" width="20"/>
    <col collapsed="false" customWidth="true" hidden="false" outlineLevel="0" max="3" min="3" style="1" width="30"/>
    <col collapsed="false" customWidth="true" hidden="false" outlineLevel="0" max="4" min="4" style="1" width="22"/>
    <col collapsed="false" customWidth="true" hidden="false" outlineLevel="0" max="5" min="5" style="1" width="16"/>
    <col collapsed="false" customWidth="true" hidden="false" outlineLevel="0" max="6" min="6" style="1" width="14"/>
    <col collapsed="false" customWidth="true" hidden="false" outlineLevel="0" max="7" min="7" style="1" width="20"/>
    <col collapsed="false" customWidth="true" hidden="false" outlineLevel="0" max="10" min="8" style="1" width="14"/>
    <col collapsed="false" customWidth="true" hidden="false" outlineLevel="0" max="11" min="11" style="1" width="20"/>
  </cols>
  <sheetData>
    <row r="1" customFormat="false" ht="26.25" hidden="false" customHeight="true" outlineLevel="0" collapsed="false">
      <c r="A1" s="13" t="s">
        <v>14</v>
      </c>
      <c r="B1" s="13" t="s">
        <v>15</v>
      </c>
      <c r="C1" s="13" t="s">
        <v>16</v>
      </c>
      <c r="D1" s="13" t="s">
        <v>17</v>
      </c>
      <c r="E1" s="13" t="s">
        <v>18</v>
      </c>
      <c r="F1" s="13" t="s">
        <v>19</v>
      </c>
      <c r="G1" s="13" t="s">
        <v>20</v>
      </c>
      <c r="H1" s="13" t="s">
        <v>21</v>
      </c>
      <c r="I1" s="13" t="s">
        <v>22</v>
      </c>
      <c r="J1" s="13" t="s">
        <v>23</v>
      </c>
      <c r="K1" s="13" t="s">
        <v>24</v>
      </c>
    </row>
    <row r="2" customFormat="false" ht="15" hidden="false" customHeight="true" outlineLevel="0" collapsed="false">
      <c r="A2" s="14"/>
      <c r="B2" s="15"/>
      <c r="C2" s="15"/>
      <c r="D2" s="15"/>
      <c r="E2" s="15"/>
      <c r="F2" s="15"/>
      <c r="G2" s="16"/>
      <c r="H2" s="16"/>
      <c r="I2" s="16" t="str">
        <f aca="false">IF(G2="","",G2+H2)</f>
        <v/>
      </c>
      <c r="J2" s="15" t="s">
        <v>25</v>
      </c>
      <c r="K2" s="15"/>
    </row>
    <row r="3" customFormat="false" ht="15" hidden="false" customHeight="true" outlineLevel="0" collapsed="false">
      <c r="A3" s="17"/>
      <c r="G3" s="18"/>
      <c r="H3" s="18"/>
      <c r="I3" s="18" t="str">
        <f aca="false">IF(G3="","",G3+H3)</f>
        <v/>
      </c>
    </row>
    <row r="4" customFormat="false" ht="15" hidden="false" customHeight="true" outlineLevel="0" collapsed="false">
      <c r="A4" s="17"/>
      <c r="G4" s="18"/>
      <c r="H4" s="18"/>
      <c r="I4" s="18" t="str">
        <f aca="false">IF(G4="","",G4+H4)</f>
        <v/>
      </c>
    </row>
    <row r="5" customFormat="false" ht="15" hidden="false" customHeight="true" outlineLevel="0" collapsed="false">
      <c r="A5" s="17"/>
      <c r="G5" s="18"/>
      <c r="H5" s="18"/>
      <c r="I5" s="18" t="str">
        <f aca="false">IF(G5="","",G5+H5)</f>
        <v/>
      </c>
    </row>
    <row r="6" customFormat="false" ht="15" hidden="false" customHeight="true" outlineLevel="0" collapsed="false">
      <c r="A6" s="17"/>
      <c r="G6" s="18"/>
      <c r="H6" s="18"/>
      <c r="I6" s="18" t="str">
        <f aca="false">IF(G6="","",G6+H6)</f>
        <v/>
      </c>
    </row>
    <row r="7" customFormat="false" ht="15" hidden="false" customHeight="true" outlineLevel="0" collapsed="false">
      <c r="A7" s="17"/>
      <c r="G7" s="18"/>
      <c r="H7" s="18"/>
      <c r="I7" s="18" t="str">
        <f aca="false">IF(G7="","",G7+H7)</f>
        <v/>
      </c>
    </row>
    <row r="8" customFormat="false" ht="15" hidden="false" customHeight="true" outlineLevel="0" collapsed="false">
      <c r="A8" s="17"/>
      <c r="G8" s="18"/>
      <c r="H8" s="18"/>
      <c r="I8" s="18" t="str">
        <f aca="false">IF(G8="","",G8+H8)</f>
        <v/>
      </c>
    </row>
    <row r="9" customFormat="false" ht="15" hidden="false" customHeight="true" outlineLevel="0" collapsed="false">
      <c r="A9" s="17"/>
      <c r="G9" s="18"/>
      <c r="H9" s="18"/>
      <c r="I9" s="18" t="str">
        <f aca="false">IF(G9="","",G9+H9)</f>
        <v/>
      </c>
    </row>
    <row r="10" customFormat="false" ht="15" hidden="false" customHeight="true" outlineLevel="0" collapsed="false">
      <c r="A10" s="17"/>
      <c r="G10" s="18"/>
      <c r="H10" s="18"/>
      <c r="I10" s="18" t="str">
        <f aca="false">IF(G10="","",G10+H10)</f>
        <v/>
      </c>
    </row>
    <row r="11" customFormat="false" ht="15" hidden="false" customHeight="true" outlineLevel="0" collapsed="false">
      <c r="A11" s="17"/>
      <c r="G11" s="18"/>
      <c r="H11" s="18"/>
      <c r="I11" s="18" t="str">
        <f aca="false">IF(G11="","",G11+H11)</f>
        <v/>
      </c>
    </row>
    <row r="12" customFormat="false" ht="15" hidden="false" customHeight="true" outlineLevel="0" collapsed="false">
      <c r="A12" s="17"/>
      <c r="G12" s="18"/>
      <c r="H12" s="18"/>
      <c r="I12" s="18" t="str">
        <f aca="false">IF(G12="","",G12+H12)</f>
        <v/>
      </c>
    </row>
    <row r="13" customFormat="false" ht="15" hidden="false" customHeight="true" outlineLevel="0" collapsed="false">
      <c r="A13" s="17"/>
      <c r="G13" s="18"/>
      <c r="H13" s="18"/>
      <c r="I13" s="18" t="str">
        <f aca="false">IF(G13="","",G13+H13)</f>
        <v/>
      </c>
    </row>
    <row r="14" customFormat="false" ht="15" hidden="false" customHeight="true" outlineLevel="0" collapsed="false">
      <c r="A14" s="17"/>
      <c r="G14" s="18"/>
      <c r="H14" s="18"/>
      <c r="I14" s="18" t="str">
        <f aca="false">IF(G14="","",G14+H14)</f>
        <v/>
      </c>
    </row>
    <row r="15" customFormat="false" ht="15" hidden="false" customHeight="true" outlineLevel="0" collapsed="false">
      <c r="A15" s="17"/>
      <c r="G15" s="18"/>
      <c r="H15" s="18"/>
      <c r="I15" s="18" t="str">
        <f aca="false">IF(G15="","",G15+H15)</f>
        <v/>
      </c>
    </row>
    <row r="16" customFormat="false" ht="15" hidden="false" customHeight="true" outlineLevel="0" collapsed="false">
      <c r="A16" s="17"/>
      <c r="G16" s="18"/>
      <c r="H16" s="18"/>
      <c r="I16" s="18" t="str">
        <f aca="false">IF(G16="","",G16+H16)</f>
        <v/>
      </c>
    </row>
    <row r="17" customFormat="false" ht="15" hidden="false" customHeight="true" outlineLevel="0" collapsed="false">
      <c r="A17" s="17"/>
      <c r="G17" s="18"/>
      <c r="H17" s="18"/>
      <c r="I17" s="18" t="str">
        <f aca="false">IF(G17="","",G17+H17)</f>
        <v/>
      </c>
    </row>
    <row r="18" customFormat="false" ht="15" hidden="false" customHeight="true" outlineLevel="0" collapsed="false">
      <c r="A18" s="17"/>
      <c r="G18" s="18"/>
      <c r="H18" s="18"/>
      <c r="I18" s="18" t="str">
        <f aca="false">IF(G18="","",G18+H18)</f>
        <v/>
      </c>
    </row>
    <row r="19" customFormat="false" ht="15" hidden="false" customHeight="true" outlineLevel="0" collapsed="false">
      <c r="A19" s="17"/>
      <c r="G19" s="18"/>
      <c r="H19" s="18"/>
      <c r="I19" s="18" t="str">
        <f aca="false">IF(G19="","",G19+H19)</f>
        <v/>
      </c>
    </row>
    <row r="20" customFormat="false" ht="15" hidden="false" customHeight="true" outlineLevel="0" collapsed="false">
      <c r="A20" s="17"/>
      <c r="G20" s="18"/>
      <c r="H20" s="18"/>
      <c r="I20" s="18" t="str">
        <f aca="false">IF(G20="","",G20+H20)</f>
        <v/>
      </c>
    </row>
    <row r="21" customFormat="false" ht="15" hidden="false" customHeight="true" outlineLevel="0" collapsed="false">
      <c r="A21" s="17"/>
      <c r="G21" s="18"/>
      <c r="H21" s="18"/>
      <c r="I21" s="18" t="str">
        <f aca="false">IF(G21="","",G21+H21)</f>
        <v/>
      </c>
    </row>
    <row r="22" customFormat="false" ht="15" hidden="false" customHeight="true" outlineLevel="0" collapsed="false">
      <c r="A22" s="17"/>
      <c r="G22" s="18"/>
      <c r="H22" s="18"/>
      <c r="I22" s="18" t="str">
        <f aca="false">IF(G22="","",G22+H22)</f>
        <v/>
      </c>
    </row>
    <row r="23" customFormat="false" ht="15" hidden="false" customHeight="true" outlineLevel="0" collapsed="false">
      <c r="A23" s="17"/>
      <c r="G23" s="18"/>
      <c r="H23" s="18"/>
      <c r="I23" s="18" t="str">
        <f aca="false">IF(G23="","",G23+H23)</f>
        <v/>
      </c>
    </row>
    <row r="24" customFormat="false" ht="15" hidden="false" customHeight="true" outlineLevel="0" collapsed="false">
      <c r="A24" s="17"/>
      <c r="G24" s="18"/>
      <c r="H24" s="18"/>
      <c r="I24" s="18" t="str">
        <f aca="false">IF(G24="","",G24+H24)</f>
        <v/>
      </c>
    </row>
    <row r="25" customFormat="false" ht="15" hidden="false" customHeight="true" outlineLevel="0" collapsed="false">
      <c r="A25" s="17"/>
      <c r="G25" s="18"/>
      <c r="H25" s="18"/>
      <c r="I25" s="18" t="str">
        <f aca="false">IF(G25="","",G25+H25)</f>
        <v/>
      </c>
    </row>
    <row r="26" customFormat="false" ht="15" hidden="false" customHeight="true" outlineLevel="0" collapsed="false">
      <c r="A26" s="17"/>
      <c r="G26" s="18"/>
      <c r="H26" s="18"/>
      <c r="I26" s="18" t="str">
        <f aca="false">IF(G26="","",G26+H26)</f>
        <v/>
      </c>
    </row>
    <row r="27" customFormat="false" ht="15" hidden="false" customHeight="true" outlineLevel="0" collapsed="false">
      <c r="A27" s="17"/>
      <c r="G27" s="18"/>
      <c r="H27" s="18"/>
      <c r="I27" s="18" t="str">
        <f aca="false">IF(G27="","",G27+H27)</f>
        <v/>
      </c>
    </row>
    <row r="28" customFormat="false" ht="15" hidden="false" customHeight="true" outlineLevel="0" collapsed="false">
      <c r="A28" s="17"/>
      <c r="G28" s="18"/>
      <c r="H28" s="18"/>
      <c r="I28" s="18" t="str">
        <f aca="false">IF(G28="","",G28+H28)</f>
        <v/>
      </c>
    </row>
    <row r="29" customFormat="false" ht="15" hidden="false" customHeight="true" outlineLevel="0" collapsed="false">
      <c r="A29" s="17"/>
      <c r="G29" s="18"/>
      <c r="H29" s="18"/>
      <c r="I29" s="18" t="str">
        <f aca="false">IF(G29="","",G29+H29)</f>
        <v/>
      </c>
    </row>
    <row r="30" customFormat="false" ht="15" hidden="false" customHeight="true" outlineLevel="0" collapsed="false">
      <c r="A30" s="17"/>
      <c r="G30" s="18"/>
      <c r="H30" s="18"/>
      <c r="I30" s="18" t="str">
        <f aca="false">IF(G30="","",G30+H30)</f>
        <v/>
      </c>
    </row>
    <row r="31" customFormat="false" ht="15" hidden="false" customHeight="true" outlineLevel="0" collapsed="false">
      <c r="A31" s="17"/>
      <c r="G31" s="18"/>
      <c r="H31" s="18"/>
      <c r="I31" s="18" t="str">
        <f aca="false">IF(G31="","",G31+H31)</f>
        <v/>
      </c>
    </row>
    <row r="32" customFormat="false" ht="15" hidden="false" customHeight="true" outlineLevel="0" collapsed="false">
      <c r="A32" s="17"/>
      <c r="G32" s="18"/>
      <c r="H32" s="18"/>
      <c r="I32" s="18" t="str">
        <f aca="false">IF(G32="","",G32+H32)</f>
        <v/>
      </c>
    </row>
    <row r="33" customFormat="false" ht="15" hidden="false" customHeight="true" outlineLevel="0" collapsed="false">
      <c r="A33" s="17"/>
      <c r="G33" s="18"/>
      <c r="H33" s="18"/>
      <c r="I33" s="18" t="str">
        <f aca="false">IF(G33="","",G33+H33)</f>
        <v/>
      </c>
    </row>
    <row r="34" customFormat="false" ht="15" hidden="false" customHeight="true" outlineLevel="0" collapsed="false">
      <c r="A34" s="17"/>
      <c r="G34" s="18"/>
      <c r="H34" s="18"/>
      <c r="I34" s="18" t="str">
        <f aca="false">IF(G34="","",G34+H34)</f>
        <v/>
      </c>
    </row>
    <row r="35" customFormat="false" ht="15" hidden="false" customHeight="true" outlineLevel="0" collapsed="false">
      <c r="A35" s="17"/>
      <c r="G35" s="18"/>
      <c r="H35" s="18"/>
      <c r="I35" s="18" t="str">
        <f aca="false">IF(G35="","",G35+H35)</f>
        <v/>
      </c>
    </row>
    <row r="36" customFormat="false" ht="15" hidden="false" customHeight="true" outlineLevel="0" collapsed="false">
      <c r="A36" s="17"/>
      <c r="G36" s="18"/>
      <c r="H36" s="18"/>
      <c r="I36" s="18" t="str">
        <f aca="false">IF(G36="","",G36+H36)</f>
        <v/>
      </c>
    </row>
    <row r="37" customFormat="false" ht="15" hidden="false" customHeight="true" outlineLevel="0" collapsed="false">
      <c r="A37" s="17"/>
      <c r="G37" s="18"/>
      <c r="H37" s="18"/>
      <c r="I37" s="18" t="str">
        <f aca="false">IF(G37="","",G37+H37)</f>
        <v/>
      </c>
    </row>
    <row r="38" customFormat="false" ht="15" hidden="false" customHeight="true" outlineLevel="0" collapsed="false">
      <c r="A38" s="17"/>
      <c r="G38" s="18"/>
      <c r="H38" s="18"/>
      <c r="I38" s="18" t="str">
        <f aca="false">IF(G38="","",G38+H38)</f>
        <v/>
      </c>
    </row>
    <row r="39" customFormat="false" ht="15" hidden="false" customHeight="true" outlineLevel="0" collapsed="false">
      <c r="A39" s="17"/>
      <c r="G39" s="18"/>
      <c r="H39" s="18"/>
      <c r="I39" s="18" t="str">
        <f aca="false">IF(G39="","",G39+H39)</f>
        <v/>
      </c>
    </row>
    <row r="40" customFormat="false" ht="15" hidden="false" customHeight="true" outlineLevel="0" collapsed="false">
      <c r="A40" s="17"/>
      <c r="G40" s="18"/>
      <c r="H40" s="18"/>
      <c r="I40" s="18" t="str">
        <f aca="false">IF(G40="","",G40+H40)</f>
        <v/>
      </c>
    </row>
    <row r="41" customFormat="false" ht="15" hidden="false" customHeight="true" outlineLevel="0" collapsed="false">
      <c r="A41" s="17"/>
      <c r="G41" s="18"/>
      <c r="H41" s="18"/>
      <c r="I41" s="18" t="str">
        <f aca="false">IF(G41="","",G41+H41)</f>
        <v/>
      </c>
    </row>
    <row r="42" customFormat="false" ht="15" hidden="false" customHeight="true" outlineLevel="0" collapsed="false">
      <c r="A42" s="17"/>
      <c r="G42" s="18"/>
      <c r="H42" s="18"/>
      <c r="I42" s="18" t="str">
        <f aca="false">IF(G42="","",G42+H42)</f>
        <v/>
      </c>
    </row>
    <row r="43" customFormat="false" ht="15" hidden="false" customHeight="true" outlineLevel="0" collapsed="false">
      <c r="A43" s="17"/>
      <c r="G43" s="18"/>
      <c r="H43" s="18"/>
      <c r="I43" s="18" t="str">
        <f aca="false">IF(G43="","",G43+H43)</f>
        <v/>
      </c>
    </row>
    <row r="44" customFormat="false" ht="15" hidden="false" customHeight="true" outlineLevel="0" collapsed="false">
      <c r="A44" s="17"/>
      <c r="G44" s="18"/>
      <c r="H44" s="18"/>
      <c r="I44" s="18" t="str">
        <f aca="false">IF(G44="","",G44+H44)</f>
        <v/>
      </c>
    </row>
    <row r="45" customFormat="false" ht="15" hidden="false" customHeight="true" outlineLevel="0" collapsed="false">
      <c r="A45" s="17"/>
      <c r="G45" s="18"/>
      <c r="H45" s="18"/>
      <c r="I45" s="18" t="str">
        <f aca="false">IF(G45="","",G45+H45)</f>
        <v/>
      </c>
    </row>
    <row r="46" customFormat="false" ht="15" hidden="false" customHeight="true" outlineLevel="0" collapsed="false">
      <c r="A46" s="17"/>
      <c r="G46" s="18"/>
      <c r="H46" s="18"/>
      <c r="I46" s="18" t="str">
        <f aca="false">IF(G46="","",G46+H46)</f>
        <v/>
      </c>
    </row>
    <row r="47" customFormat="false" ht="15" hidden="false" customHeight="true" outlineLevel="0" collapsed="false">
      <c r="A47" s="17"/>
      <c r="G47" s="18"/>
      <c r="H47" s="18"/>
      <c r="I47" s="18" t="str">
        <f aca="false">IF(G47="","",G47+H47)</f>
        <v/>
      </c>
    </row>
    <row r="48" customFormat="false" ht="15" hidden="false" customHeight="true" outlineLevel="0" collapsed="false">
      <c r="A48" s="17"/>
      <c r="G48" s="18"/>
      <c r="H48" s="18"/>
      <c r="I48" s="18" t="str">
        <f aca="false">IF(G48="","",G48+H48)</f>
        <v/>
      </c>
    </row>
    <row r="49" customFormat="false" ht="15" hidden="false" customHeight="true" outlineLevel="0" collapsed="false">
      <c r="A49" s="17"/>
      <c r="G49" s="18"/>
      <c r="H49" s="18"/>
      <c r="I49" s="18" t="str">
        <f aca="false">IF(G49="","",G49+H49)</f>
        <v/>
      </c>
    </row>
    <row r="50" customFormat="false" ht="15" hidden="false" customHeight="true" outlineLevel="0" collapsed="false">
      <c r="A50" s="17"/>
      <c r="G50" s="18"/>
      <c r="H50" s="18"/>
      <c r="I50" s="18" t="str">
        <f aca="false">IF(G50="","",G50+H50)</f>
        <v/>
      </c>
    </row>
    <row r="51" customFormat="false" ht="15" hidden="false" customHeight="true" outlineLevel="0" collapsed="false">
      <c r="A51" s="17"/>
      <c r="G51" s="18"/>
      <c r="H51" s="18"/>
      <c r="I51" s="18" t="str">
        <f aca="false">IF(G51="","",G51+H51)</f>
        <v/>
      </c>
    </row>
    <row r="52" customFormat="false" ht="15" hidden="false" customHeight="true" outlineLevel="0" collapsed="false">
      <c r="A52" s="17"/>
      <c r="G52" s="18"/>
      <c r="H52" s="18"/>
      <c r="I52" s="18" t="str">
        <f aca="false">IF(G52="","",G52+H52)</f>
        <v/>
      </c>
    </row>
    <row r="53" customFormat="false" ht="15" hidden="false" customHeight="true" outlineLevel="0" collapsed="false">
      <c r="A53" s="17"/>
      <c r="G53" s="18"/>
      <c r="H53" s="18"/>
      <c r="I53" s="18" t="str">
        <f aca="false">IF(G53="","",G53+H53)</f>
        <v/>
      </c>
    </row>
    <row r="54" customFormat="false" ht="15" hidden="false" customHeight="true" outlineLevel="0" collapsed="false">
      <c r="A54" s="17"/>
      <c r="G54" s="18"/>
      <c r="H54" s="18"/>
      <c r="I54" s="18" t="str">
        <f aca="false">IF(G54="","",G54+H54)</f>
        <v/>
      </c>
    </row>
    <row r="55" customFormat="false" ht="15" hidden="false" customHeight="true" outlineLevel="0" collapsed="false">
      <c r="A55" s="17"/>
      <c r="G55" s="18"/>
      <c r="H55" s="18"/>
      <c r="I55" s="18" t="str">
        <f aca="false">IF(G55="","",G55+H55)</f>
        <v/>
      </c>
    </row>
    <row r="56" customFormat="false" ht="15" hidden="false" customHeight="true" outlineLevel="0" collapsed="false">
      <c r="A56" s="17"/>
      <c r="G56" s="18"/>
      <c r="H56" s="18"/>
      <c r="I56" s="18" t="str">
        <f aca="false">IF(G56="","",G56+H56)</f>
        <v/>
      </c>
    </row>
    <row r="57" customFormat="false" ht="15" hidden="false" customHeight="true" outlineLevel="0" collapsed="false">
      <c r="A57" s="17"/>
      <c r="G57" s="18"/>
      <c r="H57" s="18"/>
      <c r="I57" s="18" t="str">
        <f aca="false">IF(G57="","",G57+H57)</f>
        <v/>
      </c>
    </row>
    <row r="58" customFormat="false" ht="15" hidden="false" customHeight="true" outlineLevel="0" collapsed="false">
      <c r="A58" s="17"/>
      <c r="G58" s="18"/>
      <c r="H58" s="18"/>
      <c r="I58" s="18" t="str">
        <f aca="false">IF(G58="","",G58+H58)</f>
        <v/>
      </c>
    </row>
    <row r="59" customFormat="false" ht="15" hidden="false" customHeight="true" outlineLevel="0" collapsed="false">
      <c r="A59" s="17"/>
      <c r="G59" s="18"/>
      <c r="H59" s="18"/>
      <c r="I59" s="18" t="str">
        <f aca="false">IF(G59="","",G59+H59)</f>
        <v/>
      </c>
    </row>
    <row r="60" customFormat="false" ht="15" hidden="false" customHeight="true" outlineLevel="0" collapsed="false">
      <c r="A60" s="17"/>
      <c r="G60" s="18"/>
      <c r="H60" s="18"/>
      <c r="I60" s="18" t="str">
        <f aca="false">IF(G60="","",G60+H60)</f>
        <v/>
      </c>
    </row>
    <row r="61" customFormat="false" ht="15" hidden="false" customHeight="true" outlineLevel="0" collapsed="false">
      <c r="A61" s="17"/>
      <c r="G61" s="18"/>
      <c r="H61" s="18"/>
      <c r="I61" s="18" t="str">
        <f aca="false">IF(G61="","",G61+H61)</f>
        <v/>
      </c>
    </row>
    <row r="62" customFormat="false" ht="15" hidden="false" customHeight="true" outlineLevel="0" collapsed="false">
      <c r="A62" s="17"/>
      <c r="G62" s="18"/>
      <c r="H62" s="18"/>
      <c r="I62" s="18" t="str">
        <f aca="false">IF(G62="","",G62+H62)</f>
        <v/>
      </c>
    </row>
    <row r="63" customFormat="false" ht="15" hidden="false" customHeight="true" outlineLevel="0" collapsed="false">
      <c r="A63" s="17"/>
      <c r="G63" s="18"/>
      <c r="H63" s="18"/>
      <c r="I63" s="18" t="str">
        <f aca="false">IF(G63="","",G63+H63)</f>
        <v/>
      </c>
    </row>
    <row r="64" customFormat="false" ht="15" hidden="false" customHeight="true" outlineLevel="0" collapsed="false">
      <c r="A64" s="17"/>
      <c r="G64" s="18"/>
      <c r="H64" s="18"/>
      <c r="I64" s="18" t="str">
        <f aca="false">IF(G64="","",G64+H64)</f>
        <v/>
      </c>
    </row>
    <row r="65" customFormat="false" ht="15" hidden="false" customHeight="true" outlineLevel="0" collapsed="false">
      <c r="A65" s="17"/>
      <c r="G65" s="18"/>
      <c r="H65" s="18"/>
      <c r="I65" s="18" t="str">
        <f aca="false">IF(G65="","",G65+H65)</f>
        <v/>
      </c>
    </row>
    <row r="66" customFormat="false" ht="15" hidden="false" customHeight="true" outlineLevel="0" collapsed="false">
      <c r="A66" s="17"/>
      <c r="G66" s="18"/>
      <c r="H66" s="18"/>
      <c r="I66" s="18" t="str">
        <f aca="false">IF(G66="","",G66+H66)</f>
        <v/>
      </c>
    </row>
    <row r="67" customFormat="false" ht="15" hidden="false" customHeight="true" outlineLevel="0" collapsed="false">
      <c r="A67" s="17"/>
      <c r="G67" s="18"/>
      <c r="H67" s="18"/>
      <c r="I67" s="18" t="str">
        <f aca="false">IF(G67="","",G67+H67)</f>
        <v/>
      </c>
    </row>
    <row r="68" customFormat="false" ht="15" hidden="false" customHeight="true" outlineLevel="0" collapsed="false">
      <c r="A68" s="17"/>
      <c r="G68" s="18"/>
      <c r="H68" s="18"/>
      <c r="I68" s="18" t="str">
        <f aca="false">IF(G68="","",G68+H68)</f>
        <v/>
      </c>
    </row>
    <row r="69" customFormat="false" ht="15" hidden="false" customHeight="true" outlineLevel="0" collapsed="false">
      <c r="A69" s="17"/>
      <c r="G69" s="18"/>
      <c r="H69" s="18"/>
      <c r="I69" s="18" t="str">
        <f aca="false">IF(G69="","",G69+H69)</f>
        <v/>
      </c>
    </row>
    <row r="70" customFormat="false" ht="15" hidden="false" customHeight="true" outlineLevel="0" collapsed="false">
      <c r="A70" s="17"/>
      <c r="G70" s="18"/>
      <c r="H70" s="18"/>
      <c r="I70" s="18" t="str">
        <f aca="false">IF(G70="","",G70+H70)</f>
        <v/>
      </c>
    </row>
    <row r="71" customFormat="false" ht="15" hidden="false" customHeight="true" outlineLevel="0" collapsed="false">
      <c r="A71" s="17"/>
      <c r="G71" s="18"/>
      <c r="H71" s="18"/>
      <c r="I71" s="18" t="str">
        <f aca="false">IF(G71="","",G71+H71)</f>
        <v/>
      </c>
    </row>
    <row r="72" customFormat="false" ht="15" hidden="false" customHeight="true" outlineLevel="0" collapsed="false">
      <c r="A72" s="17"/>
      <c r="G72" s="18"/>
      <c r="H72" s="18"/>
      <c r="I72" s="18" t="str">
        <f aca="false">IF(G72="","",G72+H72)</f>
        <v/>
      </c>
    </row>
    <row r="73" customFormat="false" ht="15" hidden="false" customHeight="true" outlineLevel="0" collapsed="false">
      <c r="A73" s="17"/>
      <c r="G73" s="18"/>
      <c r="H73" s="18"/>
      <c r="I73" s="18" t="str">
        <f aca="false">IF(G73="","",G73+H73)</f>
        <v/>
      </c>
    </row>
    <row r="74" customFormat="false" ht="15" hidden="false" customHeight="true" outlineLevel="0" collapsed="false">
      <c r="A74" s="17"/>
      <c r="G74" s="18"/>
      <c r="H74" s="18"/>
      <c r="I74" s="18" t="str">
        <f aca="false">IF(G74="","",G74+H74)</f>
        <v/>
      </c>
    </row>
    <row r="75" customFormat="false" ht="15" hidden="false" customHeight="true" outlineLevel="0" collapsed="false">
      <c r="A75" s="17"/>
      <c r="G75" s="18"/>
      <c r="H75" s="18"/>
      <c r="I75" s="18" t="str">
        <f aca="false">IF(G75="","",G75+H75)</f>
        <v/>
      </c>
    </row>
    <row r="76" customFormat="false" ht="15" hidden="false" customHeight="true" outlineLevel="0" collapsed="false">
      <c r="A76" s="17"/>
      <c r="G76" s="18"/>
      <c r="H76" s="18"/>
      <c r="I76" s="18" t="str">
        <f aca="false">IF(G76="","",G76+H76)</f>
        <v/>
      </c>
    </row>
    <row r="77" customFormat="false" ht="15" hidden="false" customHeight="true" outlineLevel="0" collapsed="false">
      <c r="A77" s="17"/>
      <c r="G77" s="18"/>
      <c r="H77" s="18"/>
      <c r="I77" s="18" t="str">
        <f aca="false">IF(G77="","",G77+H77)</f>
        <v/>
      </c>
    </row>
    <row r="78" customFormat="false" ht="15" hidden="false" customHeight="true" outlineLevel="0" collapsed="false">
      <c r="A78" s="17"/>
      <c r="G78" s="18"/>
      <c r="H78" s="18"/>
      <c r="I78" s="18" t="str">
        <f aca="false">IF(G78="","",G78+H78)</f>
        <v/>
      </c>
    </row>
    <row r="79" customFormat="false" ht="15" hidden="false" customHeight="true" outlineLevel="0" collapsed="false">
      <c r="A79" s="17"/>
      <c r="G79" s="18"/>
      <c r="H79" s="18"/>
      <c r="I79" s="18" t="str">
        <f aca="false">IF(G79="","",G79+H79)</f>
        <v/>
      </c>
    </row>
    <row r="80" customFormat="false" ht="15" hidden="false" customHeight="true" outlineLevel="0" collapsed="false">
      <c r="A80" s="17"/>
      <c r="G80" s="18"/>
      <c r="H80" s="18"/>
      <c r="I80" s="18" t="str">
        <f aca="false">IF(G80="","",G80+H80)</f>
        <v/>
      </c>
    </row>
    <row r="81" customFormat="false" ht="15" hidden="false" customHeight="true" outlineLevel="0" collapsed="false">
      <c r="A81" s="17"/>
      <c r="G81" s="18"/>
      <c r="H81" s="18"/>
      <c r="I81" s="18" t="str">
        <f aca="false">IF(G81="","",G81+H81)</f>
        <v/>
      </c>
    </row>
    <row r="82" customFormat="false" ht="15" hidden="false" customHeight="true" outlineLevel="0" collapsed="false">
      <c r="A82" s="17"/>
      <c r="G82" s="18"/>
      <c r="H82" s="18"/>
      <c r="I82" s="18" t="str">
        <f aca="false">IF(G82="","",G82+H82)</f>
        <v/>
      </c>
    </row>
    <row r="83" customFormat="false" ht="15" hidden="false" customHeight="true" outlineLevel="0" collapsed="false">
      <c r="A83" s="17"/>
      <c r="G83" s="18"/>
      <c r="H83" s="18"/>
      <c r="I83" s="18" t="str">
        <f aca="false">IF(G83="","",G83+H83)</f>
        <v/>
      </c>
    </row>
    <row r="84" customFormat="false" ht="15" hidden="false" customHeight="true" outlineLevel="0" collapsed="false">
      <c r="A84" s="17"/>
      <c r="G84" s="18"/>
      <c r="H84" s="18"/>
      <c r="I84" s="18" t="str">
        <f aca="false">IF(G84="","",G84+H84)</f>
        <v/>
      </c>
    </row>
    <row r="85" customFormat="false" ht="15" hidden="false" customHeight="true" outlineLevel="0" collapsed="false">
      <c r="A85" s="17"/>
      <c r="G85" s="18"/>
      <c r="H85" s="18"/>
      <c r="I85" s="18" t="str">
        <f aca="false">IF(G85="","",G85+H85)</f>
        <v/>
      </c>
    </row>
    <row r="86" customFormat="false" ht="15" hidden="false" customHeight="true" outlineLevel="0" collapsed="false">
      <c r="A86" s="17"/>
      <c r="G86" s="18"/>
      <c r="H86" s="18"/>
      <c r="I86" s="18" t="str">
        <f aca="false">IF(G86="","",G86+H86)</f>
        <v/>
      </c>
    </row>
    <row r="87" customFormat="false" ht="15" hidden="false" customHeight="true" outlineLevel="0" collapsed="false">
      <c r="A87" s="17"/>
      <c r="G87" s="18"/>
      <c r="H87" s="18"/>
      <c r="I87" s="18" t="str">
        <f aca="false">IF(G87="","",G87+H87)</f>
        <v/>
      </c>
    </row>
    <row r="88" customFormat="false" ht="15" hidden="false" customHeight="true" outlineLevel="0" collapsed="false">
      <c r="A88" s="17"/>
      <c r="G88" s="18"/>
      <c r="H88" s="18"/>
      <c r="I88" s="18" t="str">
        <f aca="false">IF(G88="","",G88+H88)</f>
        <v/>
      </c>
    </row>
    <row r="89" customFormat="false" ht="15" hidden="false" customHeight="true" outlineLevel="0" collapsed="false">
      <c r="A89" s="17"/>
      <c r="G89" s="18"/>
      <c r="H89" s="18"/>
      <c r="I89" s="18" t="str">
        <f aca="false">IF(G89="","",G89+H89)</f>
        <v/>
      </c>
    </row>
    <row r="90" customFormat="false" ht="15" hidden="false" customHeight="true" outlineLevel="0" collapsed="false">
      <c r="A90" s="17"/>
      <c r="G90" s="18"/>
      <c r="H90" s="18"/>
      <c r="I90" s="18" t="str">
        <f aca="false">IF(G90="","",G90+H90)</f>
        <v/>
      </c>
    </row>
    <row r="91" customFormat="false" ht="15" hidden="false" customHeight="true" outlineLevel="0" collapsed="false">
      <c r="A91" s="17"/>
      <c r="G91" s="18"/>
      <c r="H91" s="18"/>
      <c r="I91" s="18" t="str">
        <f aca="false">IF(G91="","",G91+H91)</f>
        <v/>
      </c>
    </row>
    <row r="92" customFormat="false" ht="15" hidden="false" customHeight="true" outlineLevel="0" collapsed="false">
      <c r="A92" s="17"/>
      <c r="G92" s="18"/>
      <c r="H92" s="18"/>
      <c r="I92" s="18" t="str">
        <f aca="false">IF(G92="","",G92+H92)</f>
        <v/>
      </c>
    </row>
    <row r="93" customFormat="false" ht="15" hidden="false" customHeight="true" outlineLevel="0" collapsed="false">
      <c r="A93" s="17"/>
      <c r="G93" s="18"/>
      <c r="H93" s="18"/>
      <c r="I93" s="18" t="str">
        <f aca="false">IF(G93="","",G93+H93)</f>
        <v/>
      </c>
    </row>
    <row r="94" customFormat="false" ht="15" hidden="false" customHeight="true" outlineLevel="0" collapsed="false">
      <c r="A94" s="17"/>
      <c r="G94" s="18"/>
      <c r="H94" s="18"/>
      <c r="I94" s="18" t="str">
        <f aca="false">IF(G94="","",G94+H94)</f>
        <v/>
      </c>
    </row>
    <row r="95" customFormat="false" ht="15" hidden="false" customHeight="true" outlineLevel="0" collapsed="false">
      <c r="A95" s="17"/>
      <c r="G95" s="18"/>
      <c r="H95" s="18"/>
      <c r="I95" s="18" t="str">
        <f aca="false">IF(G95="","",G95+H95)</f>
        <v/>
      </c>
    </row>
    <row r="96" customFormat="false" ht="15" hidden="false" customHeight="true" outlineLevel="0" collapsed="false">
      <c r="A96" s="17"/>
      <c r="G96" s="18"/>
      <c r="H96" s="18"/>
      <c r="I96" s="18" t="str">
        <f aca="false">IF(G96="","",G96+H96)</f>
        <v/>
      </c>
    </row>
    <row r="97" customFormat="false" ht="15" hidden="false" customHeight="true" outlineLevel="0" collapsed="false">
      <c r="A97" s="17"/>
      <c r="G97" s="18"/>
      <c r="H97" s="18"/>
      <c r="I97" s="18" t="str">
        <f aca="false">IF(G97="","",G97+H97)</f>
        <v/>
      </c>
    </row>
    <row r="98" customFormat="false" ht="15" hidden="false" customHeight="true" outlineLevel="0" collapsed="false">
      <c r="A98" s="17"/>
      <c r="G98" s="18"/>
      <c r="H98" s="18"/>
      <c r="I98" s="18" t="str">
        <f aca="false">IF(G98="","",G98+H98)</f>
        <v/>
      </c>
    </row>
    <row r="99" customFormat="false" ht="15" hidden="false" customHeight="true" outlineLevel="0" collapsed="false">
      <c r="A99" s="17"/>
      <c r="G99" s="18"/>
      <c r="H99" s="18"/>
      <c r="I99" s="18" t="str">
        <f aca="false">IF(G99="","",G99+H99)</f>
        <v/>
      </c>
    </row>
    <row r="100" customFormat="false" ht="15" hidden="false" customHeight="true" outlineLevel="0" collapsed="false">
      <c r="A100" s="17"/>
      <c r="G100" s="18"/>
      <c r="H100" s="18"/>
      <c r="I100" s="18" t="str">
        <f aca="false">IF(G100="","",G100+H100)</f>
        <v/>
      </c>
    </row>
    <row r="101" customFormat="false" ht="15" hidden="false" customHeight="true" outlineLevel="0" collapsed="false">
      <c r="A101" s="17"/>
      <c r="G101" s="18"/>
      <c r="H101" s="18"/>
      <c r="I101" s="18" t="str">
        <f aca="false">IF(G101="","",G101+H101)</f>
        <v/>
      </c>
    </row>
    <row r="102" customFormat="false" ht="15" hidden="false" customHeight="true" outlineLevel="0" collapsed="false">
      <c r="A102" s="17"/>
      <c r="G102" s="18"/>
      <c r="H102" s="18"/>
      <c r="I102" s="18" t="str">
        <f aca="false">IF(G102="","",G102+H102)</f>
        <v/>
      </c>
    </row>
    <row r="103" customFormat="false" ht="15" hidden="false" customHeight="true" outlineLevel="0" collapsed="false">
      <c r="A103" s="17"/>
      <c r="G103" s="18"/>
      <c r="H103" s="18"/>
      <c r="I103" s="18" t="str">
        <f aca="false">IF(G103="","",G103+H103)</f>
        <v/>
      </c>
    </row>
    <row r="104" customFormat="false" ht="15" hidden="false" customHeight="true" outlineLevel="0" collapsed="false">
      <c r="A104" s="17"/>
      <c r="G104" s="18"/>
      <c r="H104" s="18"/>
      <c r="I104" s="18" t="str">
        <f aca="false">IF(G104="","",G104+H104)</f>
        <v/>
      </c>
    </row>
    <row r="105" customFormat="false" ht="15" hidden="false" customHeight="true" outlineLevel="0" collapsed="false">
      <c r="A105" s="17"/>
      <c r="G105" s="18"/>
      <c r="H105" s="18"/>
      <c r="I105" s="18" t="str">
        <f aca="false">IF(G105="","",G105+H105)</f>
        <v/>
      </c>
    </row>
    <row r="106" customFormat="false" ht="15" hidden="false" customHeight="true" outlineLevel="0" collapsed="false">
      <c r="A106" s="17"/>
      <c r="G106" s="18"/>
      <c r="H106" s="18"/>
      <c r="I106" s="18" t="str">
        <f aca="false">IF(G106="","",G106+H106)</f>
        <v/>
      </c>
    </row>
    <row r="107" customFormat="false" ht="15" hidden="false" customHeight="true" outlineLevel="0" collapsed="false">
      <c r="A107" s="17"/>
      <c r="G107" s="18"/>
      <c r="H107" s="18"/>
      <c r="I107" s="18" t="str">
        <f aca="false">IF(G107="","",G107+H107)</f>
        <v/>
      </c>
    </row>
    <row r="108" customFormat="false" ht="15" hidden="false" customHeight="true" outlineLevel="0" collapsed="false">
      <c r="A108" s="17"/>
      <c r="G108" s="18"/>
      <c r="H108" s="18"/>
      <c r="I108" s="18" t="str">
        <f aca="false">IF(G108="","",G108+H108)</f>
        <v/>
      </c>
    </row>
    <row r="109" customFormat="false" ht="15" hidden="false" customHeight="true" outlineLevel="0" collapsed="false">
      <c r="A109" s="17"/>
      <c r="G109" s="18"/>
      <c r="H109" s="18"/>
      <c r="I109" s="18" t="str">
        <f aca="false">IF(G109="","",G109+H109)</f>
        <v/>
      </c>
    </row>
    <row r="110" customFormat="false" ht="15" hidden="false" customHeight="true" outlineLevel="0" collapsed="false">
      <c r="A110" s="17"/>
      <c r="G110" s="18"/>
      <c r="H110" s="18"/>
      <c r="I110" s="18" t="str">
        <f aca="false">IF(G110="","",G110+H110)</f>
        <v/>
      </c>
    </row>
    <row r="111" customFormat="false" ht="15" hidden="false" customHeight="true" outlineLevel="0" collapsed="false">
      <c r="A111" s="17"/>
      <c r="G111" s="18"/>
      <c r="H111" s="18"/>
      <c r="I111" s="18" t="str">
        <f aca="false">IF(G111="","",G111+H111)</f>
        <v/>
      </c>
    </row>
    <row r="112" customFormat="false" ht="15" hidden="false" customHeight="true" outlineLevel="0" collapsed="false">
      <c r="A112" s="17"/>
      <c r="G112" s="18"/>
      <c r="H112" s="18"/>
      <c r="I112" s="18" t="str">
        <f aca="false">IF(G112="","",G112+H112)</f>
        <v/>
      </c>
    </row>
    <row r="113" customFormat="false" ht="15" hidden="false" customHeight="true" outlineLevel="0" collapsed="false">
      <c r="A113" s="17"/>
      <c r="G113" s="18"/>
      <c r="H113" s="18"/>
      <c r="I113" s="18" t="str">
        <f aca="false">IF(G113="","",G113+H113)</f>
        <v/>
      </c>
    </row>
    <row r="114" customFormat="false" ht="15" hidden="false" customHeight="true" outlineLevel="0" collapsed="false">
      <c r="A114" s="17"/>
      <c r="G114" s="18"/>
      <c r="H114" s="18"/>
      <c r="I114" s="18" t="str">
        <f aca="false">IF(G114="","",G114+H114)</f>
        <v/>
      </c>
    </row>
    <row r="115" customFormat="false" ht="15" hidden="false" customHeight="true" outlineLevel="0" collapsed="false">
      <c r="A115" s="17"/>
      <c r="G115" s="18"/>
      <c r="H115" s="18"/>
      <c r="I115" s="18" t="str">
        <f aca="false">IF(G115="","",G115+H115)</f>
        <v/>
      </c>
    </row>
    <row r="116" customFormat="false" ht="15" hidden="false" customHeight="true" outlineLevel="0" collapsed="false">
      <c r="A116" s="17"/>
      <c r="G116" s="18"/>
      <c r="H116" s="18"/>
      <c r="I116" s="18" t="str">
        <f aca="false">IF(G116="","",G116+H116)</f>
        <v/>
      </c>
    </row>
    <row r="117" customFormat="false" ht="15" hidden="false" customHeight="true" outlineLevel="0" collapsed="false">
      <c r="A117" s="17"/>
      <c r="G117" s="18"/>
      <c r="H117" s="18"/>
      <c r="I117" s="18" t="str">
        <f aca="false">IF(G117="","",G117+H117)</f>
        <v/>
      </c>
    </row>
    <row r="118" customFormat="false" ht="15" hidden="false" customHeight="true" outlineLevel="0" collapsed="false">
      <c r="A118" s="17"/>
      <c r="G118" s="18"/>
      <c r="H118" s="18"/>
      <c r="I118" s="18" t="str">
        <f aca="false">IF(G118="","",G118+H118)</f>
        <v/>
      </c>
    </row>
    <row r="119" customFormat="false" ht="15" hidden="false" customHeight="true" outlineLevel="0" collapsed="false">
      <c r="A119" s="17"/>
      <c r="G119" s="18"/>
      <c r="H119" s="18"/>
      <c r="I119" s="18" t="str">
        <f aca="false">IF(G119="","",G119+H119)</f>
        <v/>
      </c>
    </row>
    <row r="120" customFormat="false" ht="15" hidden="false" customHeight="true" outlineLevel="0" collapsed="false">
      <c r="A120" s="17"/>
      <c r="G120" s="18"/>
      <c r="H120" s="18"/>
      <c r="I120" s="18" t="str">
        <f aca="false">IF(G120="","",G120+H120)</f>
        <v/>
      </c>
    </row>
    <row r="121" customFormat="false" ht="15" hidden="false" customHeight="true" outlineLevel="0" collapsed="false">
      <c r="A121" s="17"/>
      <c r="G121" s="18"/>
      <c r="H121" s="18"/>
      <c r="I121" s="18" t="str">
        <f aca="false">IF(G121="","",G121+H121)</f>
        <v/>
      </c>
    </row>
    <row r="122" customFormat="false" ht="15" hidden="false" customHeight="true" outlineLevel="0" collapsed="false">
      <c r="A122" s="17"/>
      <c r="G122" s="18"/>
      <c r="H122" s="18"/>
      <c r="I122" s="18" t="str">
        <f aca="false">IF(G122="","",G122+H122)</f>
        <v/>
      </c>
    </row>
    <row r="123" customFormat="false" ht="15" hidden="false" customHeight="true" outlineLevel="0" collapsed="false">
      <c r="A123" s="17"/>
      <c r="G123" s="18"/>
      <c r="H123" s="18"/>
      <c r="I123" s="18" t="str">
        <f aca="false">IF(G123="","",G123+H123)</f>
        <v/>
      </c>
    </row>
    <row r="124" customFormat="false" ht="15" hidden="false" customHeight="true" outlineLevel="0" collapsed="false">
      <c r="A124" s="17"/>
      <c r="G124" s="18"/>
      <c r="H124" s="18"/>
      <c r="I124" s="18" t="str">
        <f aca="false">IF(G124="","",G124+H124)</f>
        <v/>
      </c>
    </row>
    <row r="125" customFormat="false" ht="15" hidden="false" customHeight="true" outlineLevel="0" collapsed="false">
      <c r="A125" s="17"/>
      <c r="G125" s="18"/>
      <c r="H125" s="18"/>
      <c r="I125" s="18" t="str">
        <f aca="false">IF(G125="","",G125+H125)</f>
        <v/>
      </c>
    </row>
    <row r="126" customFormat="false" ht="15" hidden="false" customHeight="true" outlineLevel="0" collapsed="false">
      <c r="A126" s="17"/>
      <c r="G126" s="18"/>
      <c r="H126" s="18"/>
      <c r="I126" s="18" t="str">
        <f aca="false">IF(G126="","",G126+H126)</f>
        <v/>
      </c>
    </row>
    <row r="127" customFormat="false" ht="15" hidden="false" customHeight="true" outlineLevel="0" collapsed="false">
      <c r="A127" s="17"/>
      <c r="G127" s="18"/>
      <c r="H127" s="18"/>
      <c r="I127" s="18" t="str">
        <f aca="false">IF(G127="","",G127+H127)</f>
        <v/>
      </c>
    </row>
    <row r="128" customFormat="false" ht="15" hidden="false" customHeight="true" outlineLevel="0" collapsed="false">
      <c r="A128" s="17"/>
      <c r="G128" s="18"/>
      <c r="H128" s="18"/>
      <c r="I128" s="18" t="str">
        <f aca="false">IF(G128="","",G128+H128)</f>
        <v/>
      </c>
    </row>
    <row r="129" customFormat="false" ht="15" hidden="false" customHeight="true" outlineLevel="0" collapsed="false">
      <c r="A129" s="17"/>
      <c r="G129" s="18"/>
      <c r="H129" s="18"/>
      <c r="I129" s="18" t="str">
        <f aca="false">IF(G129="","",G129+H129)</f>
        <v/>
      </c>
    </row>
    <row r="130" customFormat="false" ht="15" hidden="false" customHeight="true" outlineLevel="0" collapsed="false">
      <c r="A130" s="17"/>
      <c r="G130" s="18"/>
      <c r="H130" s="18"/>
      <c r="I130" s="18" t="str">
        <f aca="false">IF(G130="","",G130+H130)</f>
        <v/>
      </c>
    </row>
    <row r="131" customFormat="false" ht="15" hidden="false" customHeight="true" outlineLevel="0" collapsed="false">
      <c r="A131" s="17"/>
      <c r="G131" s="18"/>
      <c r="H131" s="18"/>
      <c r="I131" s="18" t="str">
        <f aca="false">IF(G131="","",G131+H131)</f>
        <v/>
      </c>
    </row>
    <row r="132" customFormat="false" ht="15" hidden="false" customHeight="true" outlineLevel="0" collapsed="false">
      <c r="A132" s="17"/>
      <c r="G132" s="18"/>
      <c r="H132" s="18"/>
      <c r="I132" s="18" t="str">
        <f aca="false">IF(G132="","",G132+H132)</f>
        <v/>
      </c>
    </row>
    <row r="133" customFormat="false" ht="15" hidden="false" customHeight="true" outlineLevel="0" collapsed="false">
      <c r="A133" s="17"/>
      <c r="G133" s="18"/>
      <c r="H133" s="18"/>
      <c r="I133" s="18" t="str">
        <f aca="false">IF(G133="","",G133+H133)</f>
        <v/>
      </c>
    </row>
    <row r="134" customFormat="false" ht="15" hidden="false" customHeight="true" outlineLevel="0" collapsed="false">
      <c r="A134" s="17"/>
      <c r="G134" s="18"/>
      <c r="H134" s="18"/>
      <c r="I134" s="18" t="str">
        <f aca="false">IF(G134="","",G134+H134)</f>
        <v/>
      </c>
    </row>
    <row r="135" customFormat="false" ht="15" hidden="false" customHeight="true" outlineLevel="0" collapsed="false">
      <c r="A135" s="17"/>
      <c r="G135" s="18"/>
      <c r="H135" s="18"/>
      <c r="I135" s="18" t="str">
        <f aca="false">IF(G135="","",G135+H135)</f>
        <v/>
      </c>
    </row>
    <row r="136" customFormat="false" ht="15" hidden="false" customHeight="true" outlineLevel="0" collapsed="false">
      <c r="A136" s="17"/>
      <c r="G136" s="18"/>
      <c r="H136" s="18"/>
      <c r="I136" s="18" t="str">
        <f aca="false">IF(G136="","",G136+H136)</f>
        <v/>
      </c>
    </row>
    <row r="137" customFormat="false" ht="15" hidden="false" customHeight="true" outlineLevel="0" collapsed="false">
      <c r="A137" s="17"/>
      <c r="G137" s="18"/>
      <c r="H137" s="18"/>
      <c r="I137" s="18" t="str">
        <f aca="false">IF(G137="","",G137+H137)</f>
        <v/>
      </c>
    </row>
    <row r="138" customFormat="false" ht="15" hidden="false" customHeight="true" outlineLevel="0" collapsed="false">
      <c r="A138" s="17"/>
      <c r="G138" s="18"/>
      <c r="H138" s="18"/>
      <c r="I138" s="18" t="str">
        <f aca="false">IF(G138="","",G138+H138)</f>
        <v/>
      </c>
    </row>
    <row r="139" customFormat="false" ht="15" hidden="false" customHeight="true" outlineLevel="0" collapsed="false">
      <c r="A139" s="17"/>
      <c r="G139" s="18"/>
      <c r="H139" s="18"/>
      <c r="I139" s="18" t="str">
        <f aca="false">IF(G139="","",G139+H139)</f>
        <v/>
      </c>
    </row>
    <row r="140" customFormat="false" ht="15" hidden="false" customHeight="true" outlineLevel="0" collapsed="false">
      <c r="A140" s="17"/>
      <c r="G140" s="18"/>
      <c r="H140" s="18"/>
      <c r="I140" s="18" t="str">
        <f aca="false">IF(G140="","",G140+H140)</f>
        <v/>
      </c>
    </row>
    <row r="141" customFormat="false" ht="15" hidden="false" customHeight="true" outlineLevel="0" collapsed="false">
      <c r="A141" s="17"/>
      <c r="G141" s="18"/>
      <c r="H141" s="18"/>
      <c r="I141" s="18" t="str">
        <f aca="false">IF(G141="","",G141+H141)</f>
        <v/>
      </c>
    </row>
    <row r="142" customFormat="false" ht="15" hidden="false" customHeight="true" outlineLevel="0" collapsed="false">
      <c r="A142" s="17"/>
      <c r="G142" s="18"/>
      <c r="H142" s="18"/>
      <c r="I142" s="18" t="str">
        <f aca="false">IF(G142="","",G142+H142)</f>
        <v/>
      </c>
    </row>
    <row r="143" customFormat="false" ht="15" hidden="false" customHeight="true" outlineLevel="0" collapsed="false">
      <c r="A143" s="17"/>
      <c r="G143" s="18"/>
      <c r="H143" s="18"/>
      <c r="I143" s="18" t="str">
        <f aca="false">IF(G143="","",G143+H143)</f>
        <v/>
      </c>
    </row>
    <row r="144" customFormat="false" ht="15" hidden="false" customHeight="true" outlineLevel="0" collapsed="false">
      <c r="A144" s="17"/>
      <c r="G144" s="18"/>
      <c r="H144" s="18"/>
      <c r="I144" s="18" t="str">
        <f aca="false">IF(G144="","",G144+H144)</f>
        <v/>
      </c>
    </row>
    <row r="145" customFormat="false" ht="15" hidden="false" customHeight="true" outlineLevel="0" collapsed="false">
      <c r="A145" s="17"/>
      <c r="G145" s="18"/>
      <c r="H145" s="18"/>
      <c r="I145" s="18" t="str">
        <f aca="false">IF(G145="","",G145+H145)</f>
        <v/>
      </c>
    </row>
    <row r="146" customFormat="false" ht="15" hidden="false" customHeight="true" outlineLevel="0" collapsed="false">
      <c r="A146" s="17"/>
      <c r="G146" s="18"/>
      <c r="H146" s="18"/>
      <c r="I146" s="18" t="str">
        <f aca="false">IF(G146="","",G146+H146)</f>
        <v/>
      </c>
    </row>
    <row r="147" customFormat="false" ht="15" hidden="false" customHeight="true" outlineLevel="0" collapsed="false">
      <c r="A147" s="17"/>
      <c r="G147" s="18"/>
      <c r="H147" s="18"/>
      <c r="I147" s="18" t="str">
        <f aca="false">IF(G147="","",G147+H147)</f>
        <v/>
      </c>
    </row>
    <row r="148" customFormat="false" ht="15" hidden="false" customHeight="true" outlineLevel="0" collapsed="false">
      <c r="A148" s="17"/>
      <c r="G148" s="18"/>
      <c r="H148" s="18"/>
      <c r="I148" s="18" t="str">
        <f aca="false">IF(G148="","",G148+H148)</f>
        <v/>
      </c>
    </row>
    <row r="149" customFormat="false" ht="15" hidden="false" customHeight="true" outlineLevel="0" collapsed="false">
      <c r="A149" s="17"/>
      <c r="G149" s="18"/>
      <c r="H149" s="18"/>
      <c r="I149" s="18" t="str">
        <f aca="false">IF(G149="","",G149+H149)</f>
        <v/>
      </c>
    </row>
    <row r="150" customFormat="false" ht="15" hidden="false" customHeight="true" outlineLevel="0" collapsed="false">
      <c r="A150" s="17"/>
      <c r="G150" s="18"/>
      <c r="H150" s="18"/>
      <c r="I150" s="18" t="str">
        <f aca="false">IF(G150="","",G150+H150)</f>
        <v/>
      </c>
    </row>
    <row r="151" customFormat="false" ht="15" hidden="false" customHeight="true" outlineLevel="0" collapsed="false">
      <c r="A151" s="17"/>
      <c r="G151" s="18"/>
      <c r="H151" s="18"/>
      <c r="I151" s="18" t="str">
        <f aca="false">IF(G151="","",G151+H151)</f>
        <v/>
      </c>
    </row>
    <row r="152" customFormat="false" ht="15" hidden="false" customHeight="true" outlineLevel="0" collapsed="false">
      <c r="A152" s="17"/>
      <c r="G152" s="18"/>
      <c r="H152" s="18"/>
      <c r="I152" s="18" t="str">
        <f aca="false">IF(G152="","",G152+H152)</f>
        <v/>
      </c>
    </row>
    <row r="153" customFormat="false" ht="15" hidden="false" customHeight="true" outlineLevel="0" collapsed="false">
      <c r="A153" s="17"/>
      <c r="G153" s="18"/>
      <c r="H153" s="18"/>
      <c r="I153" s="18" t="str">
        <f aca="false">IF(G153="","",G153+H153)</f>
        <v/>
      </c>
    </row>
    <row r="154" customFormat="false" ht="15" hidden="false" customHeight="true" outlineLevel="0" collapsed="false">
      <c r="A154" s="17"/>
      <c r="G154" s="18"/>
      <c r="H154" s="18"/>
      <c r="I154" s="18" t="str">
        <f aca="false">IF(G154="","",G154+H154)</f>
        <v/>
      </c>
    </row>
    <row r="155" customFormat="false" ht="15" hidden="false" customHeight="true" outlineLevel="0" collapsed="false">
      <c r="A155" s="17"/>
      <c r="G155" s="18"/>
      <c r="H155" s="18"/>
      <c r="I155" s="18" t="str">
        <f aca="false">IF(G155="","",G155+H155)</f>
        <v/>
      </c>
    </row>
    <row r="156" customFormat="false" ht="15" hidden="false" customHeight="true" outlineLevel="0" collapsed="false">
      <c r="A156" s="17"/>
      <c r="G156" s="18"/>
      <c r="H156" s="18"/>
      <c r="I156" s="18" t="str">
        <f aca="false">IF(G156="","",G156+H156)</f>
        <v/>
      </c>
    </row>
    <row r="157" customFormat="false" ht="15" hidden="false" customHeight="true" outlineLevel="0" collapsed="false">
      <c r="A157" s="17"/>
      <c r="G157" s="18"/>
      <c r="H157" s="18"/>
      <c r="I157" s="18" t="str">
        <f aca="false">IF(G157="","",G157+H157)</f>
        <v/>
      </c>
    </row>
    <row r="158" customFormat="false" ht="15" hidden="false" customHeight="true" outlineLevel="0" collapsed="false">
      <c r="A158" s="17"/>
      <c r="G158" s="18"/>
      <c r="H158" s="18"/>
      <c r="I158" s="18" t="str">
        <f aca="false">IF(G158="","",G158+H158)</f>
        <v/>
      </c>
    </row>
    <row r="159" customFormat="false" ht="15" hidden="false" customHeight="true" outlineLevel="0" collapsed="false">
      <c r="A159" s="17"/>
      <c r="G159" s="18"/>
      <c r="H159" s="18"/>
      <c r="I159" s="18" t="str">
        <f aca="false">IF(G159="","",G159+H159)</f>
        <v/>
      </c>
    </row>
    <row r="160" customFormat="false" ht="15" hidden="false" customHeight="true" outlineLevel="0" collapsed="false">
      <c r="A160" s="17"/>
      <c r="G160" s="18"/>
      <c r="H160" s="18"/>
      <c r="I160" s="18" t="str">
        <f aca="false">IF(G160="","",G160+H160)</f>
        <v/>
      </c>
    </row>
    <row r="161" customFormat="false" ht="15" hidden="false" customHeight="true" outlineLevel="0" collapsed="false">
      <c r="A161" s="17"/>
      <c r="G161" s="18"/>
      <c r="H161" s="18"/>
      <c r="I161" s="18" t="str">
        <f aca="false">IF(G161="","",G161+H161)</f>
        <v/>
      </c>
    </row>
    <row r="162" customFormat="false" ht="15" hidden="false" customHeight="true" outlineLevel="0" collapsed="false">
      <c r="A162" s="17"/>
      <c r="G162" s="18"/>
      <c r="H162" s="18"/>
      <c r="I162" s="18" t="str">
        <f aca="false">IF(G162="","",G162+H162)</f>
        <v/>
      </c>
    </row>
    <row r="163" customFormat="false" ht="15" hidden="false" customHeight="true" outlineLevel="0" collapsed="false">
      <c r="A163" s="17"/>
      <c r="G163" s="18"/>
      <c r="H163" s="18"/>
      <c r="I163" s="18" t="str">
        <f aca="false">IF(G163="","",G163+H163)</f>
        <v/>
      </c>
    </row>
    <row r="164" customFormat="false" ht="15" hidden="false" customHeight="true" outlineLevel="0" collapsed="false">
      <c r="A164" s="17"/>
      <c r="G164" s="18"/>
      <c r="H164" s="18"/>
      <c r="I164" s="18" t="str">
        <f aca="false">IF(G164="","",G164+H164)</f>
        <v/>
      </c>
    </row>
    <row r="165" customFormat="false" ht="15" hidden="false" customHeight="true" outlineLevel="0" collapsed="false">
      <c r="A165" s="17"/>
      <c r="G165" s="18"/>
      <c r="H165" s="18"/>
      <c r="I165" s="18" t="str">
        <f aca="false">IF(G165="","",G165+H165)</f>
        <v/>
      </c>
    </row>
    <row r="166" customFormat="false" ht="15" hidden="false" customHeight="true" outlineLevel="0" collapsed="false">
      <c r="A166" s="17"/>
      <c r="G166" s="18"/>
      <c r="H166" s="18"/>
      <c r="I166" s="18" t="str">
        <f aca="false">IF(G166="","",G166+H166)</f>
        <v/>
      </c>
    </row>
    <row r="167" customFormat="false" ht="15" hidden="false" customHeight="true" outlineLevel="0" collapsed="false">
      <c r="A167" s="17"/>
      <c r="G167" s="18"/>
      <c r="H167" s="18"/>
      <c r="I167" s="18" t="str">
        <f aca="false">IF(G167="","",G167+H167)</f>
        <v/>
      </c>
    </row>
    <row r="168" customFormat="false" ht="15" hidden="false" customHeight="true" outlineLevel="0" collapsed="false">
      <c r="A168" s="17"/>
      <c r="G168" s="18"/>
      <c r="H168" s="18"/>
      <c r="I168" s="18" t="str">
        <f aca="false">IF(G168="","",G168+H168)</f>
        <v/>
      </c>
    </row>
    <row r="169" customFormat="false" ht="15" hidden="false" customHeight="true" outlineLevel="0" collapsed="false">
      <c r="A169" s="17"/>
      <c r="G169" s="18"/>
      <c r="H169" s="18"/>
      <c r="I169" s="18" t="str">
        <f aca="false">IF(G169="","",G169+H169)</f>
        <v/>
      </c>
    </row>
    <row r="170" customFormat="false" ht="15" hidden="false" customHeight="true" outlineLevel="0" collapsed="false">
      <c r="A170" s="17"/>
      <c r="G170" s="18"/>
      <c r="H170" s="18"/>
      <c r="I170" s="18" t="str">
        <f aca="false">IF(G170="","",G170+H170)</f>
        <v/>
      </c>
    </row>
    <row r="171" customFormat="false" ht="15" hidden="false" customHeight="true" outlineLevel="0" collapsed="false">
      <c r="A171" s="17"/>
      <c r="G171" s="18"/>
      <c r="H171" s="18"/>
      <c r="I171" s="18" t="str">
        <f aca="false">IF(G171="","",G171+H171)</f>
        <v/>
      </c>
    </row>
    <row r="172" customFormat="false" ht="15" hidden="false" customHeight="true" outlineLevel="0" collapsed="false">
      <c r="A172" s="17"/>
      <c r="G172" s="18"/>
      <c r="H172" s="18"/>
      <c r="I172" s="18" t="str">
        <f aca="false">IF(G172="","",G172+H172)</f>
        <v/>
      </c>
    </row>
    <row r="173" customFormat="false" ht="15" hidden="false" customHeight="true" outlineLevel="0" collapsed="false">
      <c r="A173" s="17"/>
      <c r="G173" s="18"/>
      <c r="H173" s="18"/>
      <c r="I173" s="18" t="str">
        <f aca="false">IF(G173="","",G173+H173)</f>
        <v/>
      </c>
    </row>
    <row r="174" customFormat="false" ht="15" hidden="false" customHeight="true" outlineLevel="0" collapsed="false">
      <c r="A174" s="17"/>
      <c r="G174" s="18"/>
      <c r="H174" s="18"/>
      <c r="I174" s="18" t="str">
        <f aca="false">IF(G174="","",G174+H174)</f>
        <v/>
      </c>
    </row>
    <row r="175" customFormat="false" ht="15" hidden="false" customHeight="true" outlineLevel="0" collapsed="false">
      <c r="A175" s="17"/>
      <c r="G175" s="18"/>
      <c r="H175" s="18"/>
      <c r="I175" s="18" t="str">
        <f aca="false">IF(G175="","",G175+H175)</f>
        <v/>
      </c>
    </row>
    <row r="176" customFormat="false" ht="15" hidden="false" customHeight="true" outlineLevel="0" collapsed="false">
      <c r="A176" s="17"/>
      <c r="G176" s="18"/>
      <c r="H176" s="18"/>
      <c r="I176" s="18" t="str">
        <f aca="false">IF(G176="","",G176+H176)</f>
        <v/>
      </c>
    </row>
    <row r="177" customFormat="false" ht="15" hidden="false" customHeight="true" outlineLevel="0" collapsed="false">
      <c r="A177" s="17"/>
      <c r="G177" s="18"/>
      <c r="H177" s="18"/>
      <c r="I177" s="18" t="str">
        <f aca="false">IF(G177="","",G177+H177)</f>
        <v/>
      </c>
    </row>
    <row r="178" customFormat="false" ht="15" hidden="false" customHeight="true" outlineLevel="0" collapsed="false">
      <c r="A178" s="17"/>
      <c r="G178" s="18"/>
      <c r="H178" s="18"/>
      <c r="I178" s="18" t="str">
        <f aca="false">IF(G178="","",G178+H178)</f>
        <v/>
      </c>
    </row>
    <row r="179" customFormat="false" ht="15" hidden="false" customHeight="true" outlineLevel="0" collapsed="false">
      <c r="A179" s="17"/>
      <c r="G179" s="18"/>
      <c r="H179" s="18"/>
      <c r="I179" s="18" t="str">
        <f aca="false">IF(G179="","",G179+H179)</f>
        <v/>
      </c>
    </row>
    <row r="180" customFormat="false" ht="15" hidden="false" customHeight="true" outlineLevel="0" collapsed="false">
      <c r="A180" s="17"/>
      <c r="G180" s="18"/>
      <c r="H180" s="18"/>
      <c r="I180" s="18" t="str">
        <f aca="false">IF(G180="","",G180+H180)</f>
        <v/>
      </c>
    </row>
    <row r="181" customFormat="false" ht="15" hidden="false" customHeight="true" outlineLevel="0" collapsed="false">
      <c r="A181" s="17"/>
      <c r="G181" s="18"/>
      <c r="H181" s="18"/>
      <c r="I181" s="18" t="str">
        <f aca="false">IF(G181="","",G181+H181)</f>
        <v/>
      </c>
    </row>
    <row r="182" customFormat="false" ht="15" hidden="false" customHeight="true" outlineLevel="0" collapsed="false">
      <c r="A182" s="17"/>
      <c r="G182" s="18"/>
      <c r="H182" s="18"/>
      <c r="I182" s="18" t="str">
        <f aca="false">IF(G182="","",G182+H182)</f>
        <v/>
      </c>
    </row>
    <row r="183" customFormat="false" ht="15" hidden="false" customHeight="true" outlineLevel="0" collapsed="false">
      <c r="A183" s="17"/>
      <c r="G183" s="18"/>
      <c r="H183" s="18"/>
      <c r="I183" s="18" t="str">
        <f aca="false">IF(G183="","",G183+H183)</f>
        <v/>
      </c>
    </row>
    <row r="184" customFormat="false" ht="15" hidden="false" customHeight="true" outlineLevel="0" collapsed="false">
      <c r="A184" s="17"/>
      <c r="G184" s="18"/>
      <c r="H184" s="18"/>
      <c r="I184" s="18" t="str">
        <f aca="false">IF(G184="","",G184+H184)</f>
        <v/>
      </c>
    </row>
    <row r="185" customFormat="false" ht="15" hidden="false" customHeight="true" outlineLevel="0" collapsed="false">
      <c r="A185" s="17"/>
      <c r="G185" s="18"/>
      <c r="H185" s="18"/>
      <c r="I185" s="18" t="str">
        <f aca="false">IF(G185="","",G185+H185)</f>
        <v/>
      </c>
    </row>
    <row r="186" customFormat="false" ht="15" hidden="false" customHeight="true" outlineLevel="0" collapsed="false">
      <c r="A186" s="17"/>
      <c r="G186" s="18"/>
      <c r="H186" s="18"/>
      <c r="I186" s="18" t="str">
        <f aca="false">IF(G186="","",G186+H186)</f>
        <v/>
      </c>
    </row>
    <row r="187" customFormat="false" ht="15" hidden="false" customHeight="true" outlineLevel="0" collapsed="false">
      <c r="A187" s="17"/>
      <c r="G187" s="18"/>
      <c r="H187" s="18"/>
      <c r="I187" s="18" t="str">
        <f aca="false">IF(G187="","",G187+H187)</f>
        <v/>
      </c>
    </row>
    <row r="188" customFormat="false" ht="15" hidden="false" customHeight="true" outlineLevel="0" collapsed="false">
      <c r="A188" s="17"/>
      <c r="G188" s="18"/>
      <c r="H188" s="18"/>
      <c r="I188" s="18" t="str">
        <f aca="false">IF(G188="","",G188+H188)</f>
        <v/>
      </c>
    </row>
    <row r="189" customFormat="false" ht="15" hidden="false" customHeight="true" outlineLevel="0" collapsed="false">
      <c r="A189" s="17"/>
      <c r="G189" s="18"/>
      <c r="H189" s="18"/>
      <c r="I189" s="18" t="str">
        <f aca="false">IF(G189="","",G189+H189)</f>
        <v/>
      </c>
    </row>
    <row r="190" customFormat="false" ht="15" hidden="false" customHeight="true" outlineLevel="0" collapsed="false">
      <c r="A190" s="17"/>
      <c r="G190" s="18"/>
      <c r="H190" s="18"/>
      <c r="I190" s="18" t="str">
        <f aca="false">IF(G190="","",G190+H190)</f>
        <v/>
      </c>
    </row>
    <row r="191" customFormat="false" ht="15" hidden="false" customHeight="true" outlineLevel="0" collapsed="false">
      <c r="A191" s="17"/>
      <c r="G191" s="18"/>
      <c r="H191" s="18"/>
      <c r="I191" s="18" t="str">
        <f aca="false">IF(G191="","",G191+H191)</f>
        <v/>
      </c>
    </row>
    <row r="192" customFormat="false" ht="15" hidden="false" customHeight="true" outlineLevel="0" collapsed="false">
      <c r="A192" s="17"/>
      <c r="G192" s="18"/>
      <c r="H192" s="18"/>
      <c r="I192" s="18" t="str">
        <f aca="false">IF(G192="","",G192+H192)</f>
        <v/>
      </c>
    </row>
    <row r="193" customFormat="false" ht="15" hidden="false" customHeight="true" outlineLevel="0" collapsed="false">
      <c r="A193" s="17"/>
      <c r="G193" s="18"/>
      <c r="H193" s="18"/>
      <c r="I193" s="18" t="str">
        <f aca="false">IF(G193="","",G193+H193)</f>
        <v/>
      </c>
    </row>
    <row r="194" customFormat="false" ht="15" hidden="false" customHeight="true" outlineLevel="0" collapsed="false">
      <c r="A194" s="17"/>
      <c r="G194" s="18"/>
      <c r="H194" s="18"/>
      <c r="I194" s="18" t="str">
        <f aca="false">IF(G194="","",G194+H194)</f>
        <v/>
      </c>
    </row>
    <row r="195" customFormat="false" ht="15" hidden="false" customHeight="true" outlineLevel="0" collapsed="false">
      <c r="A195" s="17"/>
      <c r="G195" s="18"/>
      <c r="H195" s="18"/>
      <c r="I195" s="18" t="str">
        <f aca="false">IF(G195="","",G195+H195)</f>
        <v/>
      </c>
    </row>
    <row r="196" customFormat="false" ht="15" hidden="false" customHeight="true" outlineLevel="0" collapsed="false">
      <c r="A196" s="17"/>
      <c r="G196" s="18"/>
      <c r="H196" s="18"/>
      <c r="I196" s="18" t="str">
        <f aca="false">IF(G196="","",G196+H196)</f>
        <v/>
      </c>
    </row>
    <row r="197" customFormat="false" ht="15" hidden="false" customHeight="true" outlineLevel="0" collapsed="false">
      <c r="A197" s="17"/>
      <c r="G197" s="18"/>
      <c r="H197" s="18"/>
      <c r="I197" s="18" t="str">
        <f aca="false">IF(G197="","",G197+H197)</f>
        <v/>
      </c>
    </row>
    <row r="198" customFormat="false" ht="15" hidden="false" customHeight="true" outlineLevel="0" collapsed="false">
      <c r="A198" s="17"/>
      <c r="G198" s="18"/>
      <c r="H198" s="18"/>
      <c r="I198" s="18" t="str">
        <f aca="false">IF(G198="","",G198+H198)</f>
        <v/>
      </c>
    </row>
    <row r="199" customFormat="false" ht="15" hidden="false" customHeight="true" outlineLevel="0" collapsed="false">
      <c r="A199" s="17"/>
      <c r="G199" s="18"/>
      <c r="H199" s="18"/>
      <c r="I199" s="18" t="str">
        <f aca="false">IF(G199="","",G199+H199)</f>
        <v/>
      </c>
    </row>
    <row r="200" customFormat="false" ht="15" hidden="false" customHeight="true" outlineLevel="0" collapsed="false">
      <c r="A200" s="17"/>
      <c r="G200" s="18"/>
      <c r="H200" s="18"/>
      <c r="I200" s="18" t="str">
        <f aca="false">IF(G200="","",G200+H200)</f>
        <v/>
      </c>
    </row>
    <row r="201" customFormat="false" ht="15" hidden="false" customHeight="true" outlineLevel="0" collapsed="false">
      <c r="A201" s="17"/>
      <c r="G201" s="18"/>
      <c r="H201" s="18"/>
      <c r="I201" s="18" t="str">
        <f aca="false">IF(G201="","",G201+H201)</f>
        <v/>
      </c>
    </row>
    <row r="202" customFormat="false" ht="15" hidden="false" customHeight="true" outlineLevel="0" collapsed="false">
      <c r="A202" s="17"/>
      <c r="G202" s="18"/>
      <c r="H202" s="18"/>
      <c r="I202" s="18" t="str">
        <f aca="false">IF(G202="","",G202+H202)</f>
        <v/>
      </c>
    </row>
    <row r="203" customFormat="false" ht="15" hidden="false" customHeight="true" outlineLevel="0" collapsed="false">
      <c r="A203" s="17"/>
      <c r="G203" s="18"/>
      <c r="H203" s="18"/>
      <c r="I203" s="18" t="str">
        <f aca="false">IF(G203="","",G203+H203)</f>
        <v/>
      </c>
    </row>
    <row r="204" customFormat="false" ht="15" hidden="false" customHeight="true" outlineLevel="0" collapsed="false">
      <c r="A204" s="17"/>
      <c r="G204" s="18"/>
      <c r="H204" s="18"/>
      <c r="I204" s="18" t="str">
        <f aca="false">IF(G204="","",G204+H204)</f>
        <v/>
      </c>
    </row>
    <row r="205" customFormat="false" ht="15" hidden="false" customHeight="true" outlineLevel="0" collapsed="false">
      <c r="A205" s="17"/>
      <c r="G205" s="18"/>
      <c r="H205" s="18"/>
      <c r="I205" s="18" t="str">
        <f aca="false">IF(G205="","",G205+H205)</f>
        <v/>
      </c>
    </row>
    <row r="206" customFormat="false" ht="15" hidden="false" customHeight="true" outlineLevel="0" collapsed="false">
      <c r="A206" s="17"/>
      <c r="G206" s="18"/>
      <c r="H206" s="18"/>
      <c r="I206" s="18" t="str">
        <f aca="false">IF(G206="","",G206+H206)</f>
        <v/>
      </c>
    </row>
    <row r="207" customFormat="false" ht="15" hidden="false" customHeight="true" outlineLevel="0" collapsed="false">
      <c r="A207" s="17"/>
      <c r="G207" s="18"/>
      <c r="H207" s="18"/>
      <c r="I207" s="18" t="str">
        <f aca="false">IF(G207="","",G207+H207)</f>
        <v/>
      </c>
    </row>
    <row r="208" customFormat="false" ht="15" hidden="false" customHeight="true" outlineLevel="0" collapsed="false">
      <c r="A208" s="17"/>
      <c r="G208" s="18"/>
      <c r="H208" s="18"/>
      <c r="I208" s="18" t="str">
        <f aca="false">IF(G208="","",G208+H208)</f>
        <v/>
      </c>
    </row>
    <row r="209" customFormat="false" ht="15" hidden="false" customHeight="true" outlineLevel="0" collapsed="false">
      <c r="A209" s="17"/>
      <c r="G209" s="18"/>
      <c r="H209" s="18"/>
      <c r="I209" s="18" t="str">
        <f aca="false">IF(G209="","",G209+H209)</f>
        <v/>
      </c>
    </row>
    <row r="210" customFormat="false" ht="15" hidden="false" customHeight="true" outlineLevel="0" collapsed="false">
      <c r="A210" s="17"/>
      <c r="G210" s="18"/>
      <c r="H210" s="18"/>
      <c r="I210" s="18" t="str">
        <f aca="false">IF(G210="","",G210+H210)</f>
        <v/>
      </c>
    </row>
    <row r="211" customFormat="false" ht="15" hidden="false" customHeight="true" outlineLevel="0" collapsed="false">
      <c r="A211" s="17"/>
      <c r="G211" s="18"/>
      <c r="H211" s="18"/>
      <c r="I211" s="18" t="str">
        <f aca="false">IF(G211="","",G211+H211)</f>
        <v/>
      </c>
    </row>
    <row r="212" customFormat="false" ht="15" hidden="false" customHeight="true" outlineLevel="0" collapsed="false">
      <c r="A212" s="17"/>
      <c r="G212" s="18"/>
      <c r="H212" s="18"/>
      <c r="I212" s="18" t="str">
        <f aca="false">IF(G212="","",G212+H212)</f>
        <v/>
      </c>
    </row>
    <row r="213" customFormat="false" ht="15" hidden="false" customHeight="true" outlineLevel="0" collapsed="false">
      <c r="A213" s="17"/>
      <c r="G213" s="18"/>
      <c r="H213" s="18"/>
      <c r="I213" s="18" t="str">
        <f aca="false">IF(G213="","",G213+H213)</f>
        <v/>
      </c>
    </row>
    <row r="214" customFormat="false" ht="15" hidden="false" customHeight="true" outlineLevel="0" collapsed="false">
      <c r="A214" s="17"/>
      <c r="G214" s="18"/>
      <c r="H214" s="18"/>
      <c r="I214" s="18" t="str">
        <f aca="false">IF(G214="","",G214+H214)</f>
        <v/>
      </c>
    </row>
    <row r="215" customFormat="false" ht="15" hidden="false" customHeight="true" outlineLevel="0" collapsed="false">
      <c r="A215" s="17"/>
      <c r="G215" s="18"/>
      <c r="H215" s="18"/>
      <c r="I215" s="18" t="str">
        <f aca="false">IF(G215="","",G215+H215)</f>
        <v/>
      </c>
    </row>
    <row r="216" customFormat="false" ht="15" hidden="false" customHeight="true" outlineLevel="0" collapsed="false">
      <c r="A216" s="17"/>
      <c r="G216" s="18"/>
      <c r="H216" s="18"/>
      <c r="I216" s="18" t="str">
        <f aca="false">IF(G216="","",G216+H216)</f>
        <v/>
      </c>
    </row>
    <row r="217" customFormat="false" ht="15" hidden="false" customHeight="true" outlineLevel="0" collapsed="false">
      <c r="A217" s="17"/>
      <c r="G217" s="18"/>
      <c r="H217" s="18"/>
      <c r="I217" s="18" t="str">
        <f aca="false">IF(G217="","",G217+H217)</f>
        <v/>
      </c>
    </row>
    <row r="218" customFormat="false" ht="15" hidden="false" customHeight="true" outlineLevel="0" collapsed="false">
      <c r="A218" s="17"/>
      <c r="G218" s="18"/>
      <c r="H218" s="18"/>
      <c r="I218" s="18" t="str">
        <f aca="false">IF(G218="","",G218+H218)</f>
        <v/>
      </c>
    </row>
    <row r="219" customFormat="false" ht="15" hidden="false" customHeight="true" outlineLevel="0" collapsed="false">
      <c r="A219" s="17"/>
      <c r="G219" s="18"/>
      <c r="H219" s="18"/>
      <c r="I219" s="18" t="str">
        <f aca="false">IF(G219="","",G219+H219)</f>
        <v/>
      </c>
    </row>
    <row r="220" customFormat="false" ht="15" hidden="false" customHeight="true" outlineLevel="0" collapsed="false">
      <c r="A220" s="17"/>
      <c r="G220" s="18"/>
      <c r="H220" s="18"/>
      <c r="I220" s="18" t="str">
        <f aca="false">IF(G220="","",G220+H220)</f>
        <v/>
      </c>
    </row>
    <row r="221" customFormat="false" ht="15" hidden="false" customHeight="true" outlineLevel="0" collapsed="false">
      <c r="A221" s="17"/>
      <c r="G221" s="18"/>
      <c r="H221" s="18"/>
      <c r="I221" s="18" t="str">
        <f aca="false">IF(G221="","",G221+H221)</f>
        <v/>
      </c>
    </row>
    <row r="222" customFormat="false" ht="15" hidden="false" customHeight="true" outlineLevel="0" collapsed="false">
      <c r="A222" s="17"/>
      <c r="G222" s="18"/>
      <c r="H222" s="18"/>
      <c r="I222" s="18" t="str">
        <f aca="false">IF(G222="","",G222+H222)</f>
        <v/>
      </c>
    </row>
    <row r="223" customFormat="false" ht="15" hidden="false" customHeight="true" outlineLevel="0" collapsed="false">
      <c r="A223" s="17"/>
      <c r="G223" s="18"/>
      <c r="H223" s="18"/>
      <c r="I223" s="18" t="str">
        <f aca="false">IF(G223="","",G223+H223)</f>
        <v/>
      </c>
    </row>
    <row r="224" customFormat="false" ht="15" hidden="false" customHeight="true" outlineLevel="0" collapsed="false">
      <c r="A224" s="17"/>
      <c r="G224" s="18"/>
      <c r="H224" s="18"/>
      <c r="I224" s="18" t="str">
        <f aca="false">IF(G224="","",G224+H224)</f>
        <v/>
      </c>
    </row>
    <row r="225" customFormat="false" ht="15" hidden="false" customHeight="true" outlineLevel="0" collapsed="false">
      <c r="A225" s="17"/>
      <c r="G225" s="18"/>
      <c r="H225" s="18"/>
      <c r="I225" s="18" t="str">
        <f aca="false">IF(G225="","",G225+H225)</f>
        <v/>
      </c>
    </row>
    <row r="226" customFormat="false" ht="15" hidden="false" customHeight="true" outlineLevel="0" collapsed="false">
      <c r="A226" s="17"/>
      <c r="G226" s="18"/>
      <c r="H226" s="18"/>
      <c r="I226" s="18" t="str">
        <f aca="false">IF(G226="","",G226+H226)</f>
        <v/>
      </c>
    </row>
    <row r="227" customFormat="false" ht="15" hidden="false" customHeight="true" outlineLevel="0" collapsed="false">
      <c r="A227" s="17"/>
      <c r="G227" s="18"/>
      <c r="H227" s="18"/>
      <c r="I227" s="18" t="str">
        <f aca="false">IF(G227="","",G227+H227)</f>
        <v/>
      </c>
    </row>
    <row r="228" customFormat="false" ht="15" hidden="false" customHeight="true" outlineLevel="0" collapsed="false">
      <c r="A228" s="17"/>
      <c r="G228" s="18"/>
      <c r="H228" s="18"/>
      <c r="I228" s="18" t="str">
        <f aca="false">IF(G228="","",G228+H228)</f>
        <v/>
      </c>
    </row>
    <row r="229" customFormat="false" ht="15" hidden="false" customHeight="true" outlineLevel="0" collapsed="false">
      <c r="A229" s="17"/>
      <c r="G229" s="18"/>
      <c r="H229" s="18"/>
      <c r="I229" s="18" t="str">
        <f aca="false">IF(G229="","",G229+H229)</f>
        <v/>
      </c>
    </row>
    <row r="230" customFormat="false" ht="15" hidden="false" customHeight="true" outlineLevel="0" collapsed="false">
      <c r="A230" s="17"/>
      <c r="G230" s="18"/>
      <c r="H230" s="18"/>
      <c r="I230" s="18" t="str">
        <f aca="false">IF(G230="","",G230+H230)</f>
        <v/>
      </c>
    </row>
    <row r="231" customFormat="false" ht="15" hidden="false" customHeight="true" outlineLevel="0" collapsed="false">
      <c r="A231" s="17"/>
      <c r="G231" s="18"/>
      <c r="H231" s="18"/>
      <c r="I231" s="18" t="str">
        <f aca="false">IF(G231="","",G231+H231)</f>
        <v/>
      </c>
    </row>
    <row r="232" customFormat="false" ht="15" hidden="false" customHeight="true" outlineLevel="0" collapsed="false">
      <c r="A232" s="17"/>
      <c r="G232" s="18"/>
      <c r="H232" s="18"/>
      <c r="I232" s="18" t="str">
        <f aca="false">IF(G232="","",G232+H232)</f>
        <v/>
      </c>
    </row>
    <row r="233" customFormat="false" ht="15" hidden="false" customHeight="true" outlineLevel="0" collapsed="false">
      <c r="A233" s="17"/>
      <c r="G233" s="18"/>
      <c r="H233" s="18"/>
      <c r="I233" s="18" t="str">
        <f aca="false">IF(G233="","",G233+H233)</f>
        <v/>
      </c>
    </row>
    <row r="234" customFormat="false" ht="15" hidden="false" customHeight="true" outlineLevel="0" collapsed="false">
      <c r="A234" s="17"/>
      <c r="G234" s="18"/>
      <c r="H234" s="18"/>
      <c r="I234" s="18" t="str">
        <f aca="false">IF(G234="","",G234+H234)</f>
        <v/>
      </c>
    </row>
    <row r="235" customFormat="false" ht="15" hidden="false" customHeight="true" outlineLevel="0" collapsed="false">
      <c r="A235" s="17"/>
      <c r="G235" s="18"/>
      <c r="H235" s="18"/>
      <c r="I235" s="18" t="str">
        <f aca="false">IF(G235="","",G235+H235)</f>
        <v/>
      </c>
    </row>
    <row r="236" customFormat="false" ht="15" hidden="false" customHeight="true" outlineLevel="0" collapsed="false">
      <c r="A236" s="17"/>
      <c r="G236" s="18"/>
      <c r="H236" s="18"/>
      <c r="I236" s="18" t="str">
        <f aca="false">IF(G236="","",G236+H236)</f>
        <v/>
      </c>
    </row>
    <row r="237" customFormat="false" ht="15" hidden="false" customHeight="true" outlineLevel="0" collapsed="false">
      <c r="A237" s="17"/>
      <c r="G237" s="18"/>
      <c r="H237" s="18"/>
      <c r="I237" s="18" t="str">
        <f aca="false">IF(G237="","",G237+H237)</f>
        <v/>
      </c>
    </row>
    <row r="238" customFormat="false" ht="15" hidden="false" customHeight="true" outlineLevel="0" collapsed="false">
      <c r="A238" s="17"/>
      <c r="G238" s="18"/>
      <c r="H238" s="18"/>
      <c r="I238" s="18" t="str">
        <f aca="false">IF(G238="","",G238+H238)</f>
        <v/>
      </c>
    </row>
    <row r="239" customFormat="false" ht="15" hidden="false" customHeight="true" outlineLevel="0" collapsed="false">
      <c r="A239" s="17"/>
      <c r="G239" s="18"/>
      <c r="H239" s="18"/>
      <c r="I239" s="18" t="str">
        <f aca="false">IF(G239="","",G239+H239)</f>
        <v/>
      </c>
    </row>
    <row r="240" customFormat="false" ht="15" hidden="false" customHeight="true" outlineLevel="0" collapsed="false">
      <c r="A240" s="17"/>
      <c r="G240" s="18"/>
      <c r="H240" s="18"/>
      <c r="I240" s="18" t="str">
        <f aca="false">IF(G240="","",G240+H240)</f>
        <v/>
      </c>
    </row>
    <row r="241" customFormat="false" ht="15" hidden="false" customHeight="true" outlineLevel="0" collapsed="false">
      <c r="A241" s="17"/>
      <c r="G241" s="18"/>
      <c r="H241" s="18"/>
      <c r="I241" s="18" t="str">
        <f aca="false">IF(G241="","",G241+H241)</f>
        <v/>
      </c>
    </row>
    <row r="242" customFormat="false" ht="15" hidden="false" customHeight="true" outlineLevel="0" collapsed="false">
      <c r="A242" s="17"/>
      <c r="G242" s="18"/>
      <c r="H242" s="18"/>
      <c r="I242" s="18" t="str">
        <f aca="false">IF(G242="","",G242+H242)</f>
        <v/>
      </c>
    </row>
    <row r="243" customFormat="false" ht="15" hidden="false" customHeight="true" outlineLevel="0" collapsed="false">
      <c r="A243" s="17"/>
      <c r="G243" s="18"/>
      <c r="H243" s="18"/>
      <c r="I243" s="18" t="str">
        <f aca="false">IF(G243="","",G243+H243)</f>
        <v/>
      </c>
    </row>
    <row r="244" customFormat="false" ht="15" hidden="false" customHeight="true" outlineLevel="0" collapsed="false">
      <c r="A244" s="17"/>
      <c r="G244" s="18"/>
      <c r="H244" s="18"/>
      <c r="I244" s="18" t="str">
        <f aca="false">IF(G244="","",G244+H244)</f>
        <v/>
      </c>
    </row>
    <row r="245" customFormat="false" ht="15" hidden="false" customHeight="true" outlineLevel="0" collapsed="false">
      <c r="A245" s="17"/>
      <c r="G245" s="18"/>
      <c r="H245" s="18"/>
      <c r="I245" s="18" t="str">
        <f aca="false">IF(G245="","",G245+H245)</f>
        <v/>
      </c>
    </row>
    <row r="246" customFormat="false" ht="15" hidden="false" customHeight="true" outlineLevel="0" collapsed="false">
      <c r="A246" s="17"/>
      <c r="G246" s="18"/>
      <c r="H246" s="18"/>
      <c r="I246" s="18" t="str">
        <f aca="false">IF(G246="","",G246+H246)</f>
        <v/>
      </c>
    </row>
    <row r="247" customFormat="false" ht="15" hidden="false" customHeight="true" outlineLevel="0" collapsed="false">
      <c r="A247" s="17"/>
      <c r="G247" s="18"/>
      <c r="H247" s="18"/>
      <c r="I247" s="18" t="str">
        <f aca="false">IF(G247="","",G247+H247)</f>
        <v/>
      </c>
    </row>
    <row r="248" customFormat="false" ht="15" hidden="false" customHeight="true" outlineLevel="0" collapsed="false">
      <c r="A248" s="17"/>
      <c r="G248" s="18"/>
      <c r="H248" s="18"/>
      <c r="I248" s="18" t="str">
        <f aca="false">IF(G248="","",G248+H248)</f>
        <v/>
      </c>
    </row>
    <row r="249" customFormat="false" ht="15" hidden="false" customHeight="true" outlineLevel="0" collapsed="false">
      <c r="A249" s="17"/>
      <c r="G249" s="18"/>
      <c r="H249" s="18"/>
      <c r="I249" s="18" t="str">
        <f aca="false">IF(G249="","",G249+H249)</f>
        <v/>
      </c>
    </row>
    <row r="250" customFormat="false" ht="15" hidden="false" customHeight="true" outlineLevel="0" collapsed="false">
      <c r="A250" s="17"/>
      <c r="G250" s="18"/>
      <c r="H250" s="18"/>
      <c r="I250" s="18" t="str">
        <f aca="false">IF(G250="","",G250+H250)</f>
        <v/>
      </c>
    </row>
    <row r="251" customFormat="false" ht="15" hidden="false" customHeight="true" outlineLevel="0" collapsed="false">
      <c r="A251" s="17"/>
      <c r="G251" s="18"/>
      <c r="H251" s="18"/>
      <c r="I251" s="18" t="str">
        <f aca="false">IF(G251="","",G251+H251)</f>
        <v/>
      </c>
    </row>
    <row r="252" customFormat="false" ht="15" hidden="false" customHeight="true" outlineLevel="0" collapsed="false">
      <c r="A252" s="17"/>
      <c r="G252" s="18"/>
      <c r="H252" s="18"/>
      <c r="I252" s="18" t="str">
        <f aca="false">IF(G252="","",G252+H252)</f>
        <v/>
      </c>
    </row>
    <row r="253" customFormat="false" ht="15" hidden="false" customHeight="true" outlineLevel="0" collapsed="false">
      <c r="A253" s="17"/>
      <c r="G253" s="18"/>
      <c r="H253" s="18"/>
      <c r="I253" s="18" t="str">
        <f aca="false">IF(G253="","",G253+H253)</f>
        <v/>
      </c>
    </row>
    <row r="254" customFormat="false" ht="15" hidden="false" customHeight="true" outlineLevel="0" collapsed="false">
      <c r="A254" s="17"/>
      <c r="G254" s="18"/>
      <c r="H254" s="18"/>
      <c r="I254" s="18" t="str">
        <f aca="false">IF(G254="","",G254+H254)</f>
        <v/>
      </c>
    </row>
    <row r="255" customFormat="false" ht="15" hidden="false" customHeight="true" outlineLevel="0" collapsed="false">
      <c r="A255" s="17"/>
      <c r="G255" s="18"/>
      <c r="H255" s="18"/>
      <c r="I255" s="18" t="str">
        <f aca="false">IF(G255="","",G255+H255)</f>
        <v/>
      </c>
    </row>
    <row r="256" customFormat="false" ht="15" hidden="false" customHeight="true" outlineLevel="0" collapsed="false">
      <c r="A256" s="17"/>
      <c r="G256" s="18"/>
      <c r="H256" s="18"/>
      <c r="I256" s="18" t="str">
        <f aca="false">IF(G256="","",G256+H256)</f>
        <v/>
      </c>
    </row>
    <row r="257" customFormat="false" ht="15" hidden="false" customHeight="true" outlineLevel="0" collapsed="false">
      <c r="A257" s="17"/>
      <c r="G257" s="18"/>
      <c r="H257" s="18"/>
      <c r="I257" s="18" t="str">
        <f aca="false">IF(G257="","",G257+H257)</f>
        <v/>
      </c>
    </row>
    <row r="258" customFormat="false" ht="15" hidden="false" customHeight="true" outlineLevel="0" collapsed="false">
      <c r="A258" s="17"/>
      <c r="G258" s="18"/>
      <c r="H258" s="18"/>
      <c r="I258" s="18" t="str">
        <f aca="false">IF(G258="","",G258+H258)</f>
        <v/>
      </c>
    </row>
    <row r="259" customFormat="false" ht="15" hidden="false" customHeight="true" outlineLevel="0" collapsed="false">
      <c r="A259" s="17"/>
      <c r="G259" s="18"/>
      <c r="H259" s="18"/>
      <c r="I259" s="18" t="str">
        <f aca="false">IF(G259="","",G259+H259)</f>
        <v/>
      </c>
    </row>
    <row r="260" customFormat="false" ht="15" hidden="false" customHeight="true" outlineLevel="0" collapsed="false">
      <c r="A260" s="17"/>
      <c r="G260" s="18"/>
      <c r="H260" s="18"/>
      <c r="I260" s="18" t="str">
        <f aca="false">IF(G260="","",G260+H260)</f>
        <v/>
      </c>
    </row>
    <row r="261" customFormat="false" ht="15" hidden="false" customHeight="true" outlineLevel="0" collapsed="false">
      <c r="A261" s="17"/>
      <c r="G261" s="18"/>
      <c r="H261" s="18"/>
      <c r="I261" s="18" t="str">
        <f aca="false">IF(G261="","",G261+H261)</f>
        <v/>
      </c>
    </row>
    <row r="262" customFormat="false" ht="15" hidden="false" customHeight="true" outlineLevel="0" collapsed="false">
      <c r="A262" s="17"/>
      <c r="G262" s="18"/>
      <c r="H262" s="18"/>
      <c r="I262" s="18" t="str">
        <f aca="false">IF(G262="","",G262+H262)</f>
        <v/>
      </c>
    </row>
    <row r="263" customFormat="false" ht="15" hidden="false" customHeight="true" outlineLevel="0" collapsed="false">
      <c r="A263" s="17"/>
      <c r="G263" s="18"/>
      <c r="H263" s="18"/>
      <c r="I263" s="18" t="str">
        <f aca="false">IF(G263="","",G263+H263)</f>
        <v/>
      </c>
    </row>
    <row r="264" customFormat="false" ht="15" hidden="false" customHeight="true" outlineLevel="0" collapsed="false">
      <c r="A264" s="17"/>
      <c r="G264" s="18"/>
      <c r="H264" s="18"/>
      <c r="I264" s="18" t="str">
        <f aca="false">IF(G264="","",G264+H264)</f>
        <v/>
      </c>
    </row>
    <row r="265" customFormat="false" ht="15" hidden="false" customHeight="true" outlineLevel="0" collapsed="false">
      <c r="A265" s="17"/>
      <c r="G265" s="18"/>
      <c r="H265" s="18"/>
      <c r="I265" s="18" t="str">
        <f aca="false">IF(G265="","",G265+H265)</f>
        <v/>
      </c>
    </row>
    <row r="266" customFormat="false" ht="15" hidden="false" customHeight="true" outlineLevel="0" collapsed="false">
      <c r="A266" s="17"/>
      <c r="G266" s="18"/>
      <c r="H266" s="18"/>
      <c r="I266" s="18" t="str">
        <f aca="false">IF(G266="","",G266+H266)</f>
        <v/>
      </c>
    </row>
    <row r="267" customFormat="false" ht="15" hidden="false" customHeight="true" outlineLevel="0" collapsed="false">
      <c r="A267" s="17"/>
      <c r="G267" s="18"/>
      <c r="H267" s="18"/>
      <c r="I267" s="18" t="str">
        <f aca="false">IF(G267="","",G267+H267)</f>
        <v/>
      </c>
    </row>
    <row r="268" customFormat="false" ht="15" hidden="false" customHeight="true" outlineLevel="0" collapsed="false">
      <c r="A268" s="17"/>
      <c r="G268" s="18"/>
      <c r="H268" s="18"/>
      <c r="I268" s="18" t="str">
        <f aca="false">IF(G268="","",G268+H268)</f>
        <v/>
      </c>
    </row>
    <row r="269" customFormat="false" ht="15" hidden="false" customHeight="true" outlineLevel="0" collapsed="false">
      <c r="A269" s="17"/>
      <c r="G269" s="18"/>
      <c r="H269" s="18"/>
      <c r="I269" s="18" t="str">
        <f aca="false">IF(G269="","",G269+H269)</f>
        <v/>
      </c>
    </row>
    <row r="270" customFormat="false" ht="15" hidden="false" customHeight="true" outlineLevel="0" collapsed="false">
      <c r="A270" s="17"/>
      <c r="G270" s="18"/>
      <c r="H270" s="18"/>
      <c r="I270" s="18" t="str">
        <f aca="false">IF(G270="","",G270+H270)</f>
        <v/>
      </c>
    </row>
    <row r="271" customFormat="false" ht="15" hidden="false" customHeight="true" outlineLevel="0" collapsed="false">
      <c r="A271" s="17"/>
      <c r="G271" s="18"/>
      <c r="H271" s="18"/>
      <c r="I271" s="18" t="str">
        <f aca="false">IF(G271="","",G271+H271)</f>
        <v/>
      </c>
    </row>
    <row r="272" customFormat="false" ht="15" hidden="false" customHeight="true" outlineLevel="0" collapsed="false">
      <c r="A272" s="17"/>
      <c r="G272" s="18"/>
      <c r="H272" s="18"/>
      <c r="I272" s="18" t="str">
        <f aca="false">IF(G272="","",G272+H272)</f>
        <v/>
      </c>
    </row>
    <row r="273" customFormat="false" ht="15" hidden="false" customHeight="true" outlineLevel="0" collapsed="false">
      <c r="A273" s="17"/>
      <c r="G273" s="18"/>
      <c r="H273" s="18"/>
      <c r="I273" s="18" t="str">
        <f aca="false">IF(G273="","",G273+H273)</f>
        <v/>
      </c>
    </row>
    <row r="274" customFormat="false" ht="15" hidden="false" customHeight="true" outlineLevel="0" collapsed="false">
      <c r="A274" s="17"/>
      <c r="G274" s="18"/>
      <c r="H274" s="18"/>
      <c r="I274" s="18" t="str">
        <f aca="false">IF(G274="","",G274+H274)</f>
        <v/>
      </c>
    </row>
    <row r="275" customFormat="false" ht="15" hidden="false" customHeight="true" outlineLevel="0" collapsed="false">
      <c r="A275" s="17"/>
      <c r="G275" s="18"/>
      <c r="H275" s="18"/>
      <c r="I275" s="18" t="str">
        <f aca="false">IF(G275="","",G275+H275)</f>
        <v/>
      </c>
    </row>
    <row r="276" customFormat="false" ht="15" hidden="false" customHeight="true" outlineLevel="0" collapsed="false">
      <c r="A276" s="17"/>
      <c r="G276" s="18"/>
      <c r="H276" s="18"/>
      <c r="I276" s="18" t="str">
        <f aca="false">IF(G276="","",G276+H276)</f>
        <v/>
      </c>
    </row>
    <row r="277" customFormat="false" ht="15" hidden="false" customHeight="true" outlineLevel="0" collapsed="false">
      <c r="A277" s="17"/>
      <c r="G277" s="18"/>
      <c r="H277" s="18"/>
      <c r="I277" s="18" t="str">
        <f aca="false">IF(G277="","",G277+H277)</f>
        <v/>
      </c>
    </row>
    <row r="278" customFormat="false" ht="15" hidden="false" customHeight="true" outlineLevel="0" collapsed="false">
      <c r="A278" s="17"/>
      <c r="G278" s="18"/>
      <c r="H278" s="18"/>
      <c r="I278" s="18" t="str">
        <f aca="false">IF(G278="","",G278+H278)</f>
        <v/>
      </c>
    </row>
    <row r="279" customFormat="false" ht="15" hidden="false" customHeight="true" outlineLevel="0" collapsed="false">
      <c r="A279" s="17"/>
      <c r="G279" s="18"/>
      <c r="H279" s="18"/>
      <c r="I279" s="18" t="str">
        <f aca="false">IF(G279="","",G279+H279)</f>
        <v/>
      </c>
    </row>
    <row r="280" customFormat="false" ht="15" hidden="false" customHeight="true" outlineLevel="0" collapsed="false">
      <c r="A280" s="17"/>
      <c r="G280" s="18"/>
      <c r="H280" s="18"/>
      <c r="I280" s="18" t="str">
        <f aca="false">IF(G280="","",G280+H280)</f>
        <v/>
      </c>
    </row>
    <row r="281" customFormat="false" ht="15" hidden="false" customHeight="true" outlineLevel="0" collapsed="false">
      <c r="A281" s="17"/>
      <c r="G281" s="18"/>
      <c r="H281" s="18"/>
      <c r="I281" s="18" t="str">
        <f aca="false">IF(G281="","",G281+H281)</f>
        <v/>
      </c>
    </row>
    <row r="282" customFormat="false" ht="15" hidden="false" customHeight="true" outlineLevel="0" collapsed="false">
      <c r="A282" s="17"/>
      <c r="G282" s="18"/>
      <c r="H282" s="18"/>
      <c r="I282" s="18" t="str">
        <f aca="false">IF(G282="","",G282+H282)</f>
        <v/>
      </c>
    </row>
    <row r="283" customFormat="false" ht="15" hidden="false" customHeight="true" outlineLevel="0" collapsed="false">
      <c r="A283" s="17"/>
      <c r="G283" s="18"/>
      <c r="H283" s="18"/>
      <c r="I283" s="18" t="str">
        <f aca="false">IF(G283="","",G283+H283)</f>
        <v/>
      </c>
    </row>
    <row r="284" customFormat="false" ht="15" hidden="false" customHeight="true" outlineLevel="0" collapsed="false">
      <c r="A284" s="17"/>
      <c r="G284" s="18"/>
      <c r="H284" s="18"/>
      <c r="I284" s="18" t="str">
        <f aca="false">IF(G284="","",G284+H284)</f>
        <v/>
      </c>
    </row>
    <row r="285" customFormat="false" ht="15" hidden="false" customHeight="true" outlineLevel="0" collapsed="false">
      <c r="A285" s="17"/>
      <c r="G285" s="18"/>
      <c r="H285" s="18"/>
      <c r="I285" s="18" t="str">
        <f aca="false">IF(G285="","",G285+H285)</f>
        <v/>
      </c>
    </row>
    <row r="286" customFormat="false" ht="15" hidden="false" customHeight="true" outlineLevel="0" collapsed="false">
      <c r="A286" s="17"/>
      <c r="G286" s="18"/>
      <c r="H286" s="18"/>
      <c r="I286" s="18" t="str">
        <f aca="false">IF(G286="","",G286+H286)</f>
        <v/>
      </c>
    </row>
    <row r="287" customFormat="false" ht="15" hidden="false" customHeight="true" outlineLevel="0" collapsed="false">
      <c r="A287" s="17"/>
      <c r="G287" s="18"/>
      <c r="H287" s="18"/>
      <c r="I287" s="18" t="str">
        <f aca="false">IF(G287="","",G287+H287)</f>
        <v/>
      </c>
    </row>
    <row r="288" customFormat="false" ht="15" hidden="false" customHeight="true" outlineLevel="0" collapsed="false">
      <c r="A288" s="17"/>
      <c r="G288" s="18"/>
      <c r="H288" s="18"/>
      <c r="I288" s="18" t="str">
        <f aca="false">IF(G288="","",G288+H288)</f>
        <v/>
      </c>
    </row>
    <row r="289" customFormat="false" ht="15" hidden="false" customHeight="true" outlineLevel="0" collapsed="false">
      <c r="A289" s="17"/>
      <c r="G289" s="18"/>
      <c r="H289" s="18"/>
      <c r="I289" s="18" t="str">
        <f aca="false">IF(G289="","",G289+H289)</f>
        <v/>
      </c>
    </row>
    <row r="290" customFormat="false" ht="15" hidden="false" customHeight="true" outlineLevel="0" collapsed="false">
      <c r="A290" s="17"/>
      <c r="G290" s="18"/>
      <c r="H290" s="18"/>
      <c r="I290" s="18" t="str">
        <f aca="false">IF(G290="","",G290+H290)</f>
        <v/>
      </c>
    </row>
    <row r="291" customFormat="false" ht="15" hidden="false" customHeight="true" outlineLevel="0" collapsed="false">
      <c r="A291" s="17"/>
      <c r="G291" s="18"/>
      <c r="H291" s="18"/>
      <c r="I291" s="18" t="str">
        <f aca="false">IF(G291="","",G291+H291)</f>
        <v/>
      </c>
    </row>
    <row r="292" customFormat="false" ht="15" hidden="false" customHeight="true" outlineLevel="0" collapsed="false">
      <c r="A292" s="17"/>
      <c r="G292" s="18"/>
      <c r="H292" s="18"/>
      <c r="I292" s="18" t="str">
        <f aca="false">IF(G292="","",G292+H292)</f>
        <v/>
      </c>
    </row>
    <row r="293" customFormat="false" ht="15" hidden="false" customHeight="true" outlineLevel="0" collapsed="false">
      <c r="A293" s="17"/>
      <c r="G293" s="18"/>
      <c r="H293" s="18"/>
      <c r="I293" s="18" t="str">
        <f aca="false">IF(G293="","",G293+H293)</f>
        <v/>
      </c>
    </row>
    <row r="294" customFormat="false" ht="15" hidden="false" customHeight="true" outlineLevel="0" collapsed="false">
      <c r="A294" s="17"/>
      <c r="G294" s="18"/>
      <c r="H294" s="18"/>
      <c r="I294" s="18" t="str">
        <f aca="false">IF(G294="","",G294+H294)</f>
        <v/>
      </c>
    </row>
    <row r="295" customFormat="false" ht="15" hidden="false" customHeight="true" outlineLevel="0" collapsed="false">
      <c r="A295" s="17"/>
      <c r="G295" s="18"/>
      <c r="H295" s="18"/>
      <c r="I295" s="18" t="str">
        <f aca="false">IF(G295="","",G295+H295)</f>
        <v/>
      </c>
    </row>
    <row r="296" customFormat="false" ht="15" hidden="false" customHeight="true" outlineLevel="0" collapsed="false">
      <c r="A296" s="17"/>
      <c r="G296" s="18"/>
      <c r="H296" s="18"/>
      <c r="I296" s="18" t="str">
        <f aca="false">IF(G296="","",G296+H296)</f>
        <v/>
      </c>
    </row>
    <row r="297" customFormat="false" ht="15" hidden="false" customHeight="true" outlineLevel="0" collapsed="false">
      <c r="A297" s="17"/>
      <c r="G297" s="18"/>
      <c r="H297" s="18"/>
      <c r="I297" s="18" t="str">
        <f aca="false">IF(G297="","",G297+H297)</f>
        <v/>
      </c>
    </row>
    <row r="298" customFormat="false" ht="15" hidden="false" customHeight="true" outlineLevel="0" collapsed="false">
      <c r="A298" s="17"/>
      <c r="G298" s="18"/>
      <c r="H298" s="18"/>
      <c r="I298" s="18" t="str">
        <f aca="false">IF(G298="","",G298+H298)</f>
        <v/>
      </c>
    </row>
    <row r="299" customFormat="false" ht="15" hidden="false" customHeight="true" outlineLevel="0" collapsed="false">
      <c r="A299" s="17"/>
      <c r="G299" s="18"/>
      <c r="H299" s="18"/>
      <c r="I299" s="18" t="str">
        <f aca="false">IF(G299="","",G299+H299)</f>
        <v/>
      </c>
    </row>
    <row r="300" customFormat="false" ht="53.25" hidden="false" customHeight="true" outlineLevel="0" collapsed="false">
      <c r="B300" s="19" t="s">
        <v>26</v>
      </c>
    </row>
  </sheetData>
  <dataValidations count="4">
    <dataValidation allowBlank="true" errorStyle="stop" operator="between" showDropDown="false" showErrorMessage="false" showInputMessage="false" sqref="D2:D300" type="list">
      <formula1>"Madera/Acrílico/Cuero,Cosmética Natural (jabones/cremas/pomadas),Servicios de Diseño/Grabado,Envío/Empaque,Otro"</formula1>
      <formula2>0</formula2>
    </dataValidation>
    <dataValidation allowBlank="true" errorStyle="stop" operator="between" showDropDown="false" showErrorMessage="false" showInputMessage="false" sqref="E2:E300" type="list">
      <formula1>"Efectivo,ATH Móvil,Transferencia,Tarjeta,Shopify/Plataforma,Cheque"</formula1>
      <formula2>0</formula2>
    </dataValidation>
    <dataValidation allowBlank="true" errorStyle="stop" operator="between" showDropDown="false" showErrorMessage="false" showInputMessage="false" sqref="F2:F300" type="list">
      <formula1>"Sí,No"</formula1>
      <formula2>0</formula2>
    </dataValidation>
    <dataValidation allowBlank="true" errorStyle="stop" operator="between" showDropDown="false" showErrorMessage="false" showInputMessage="false" sqref="J2:J300" type="list">
      <formula1>"Manual,Shopify"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2"/>
    <col collapsed="false" customWidth="true" hidden="false" outlineLevel="0" max="2" min="2" style="1" width="22"/>
    <col collapsed="false" customWidth="true" hidden="false" outlineLevel="0" max="3" min="3" style="1" width="30"/>
    <col collapsed="false" customWidth="true" hidden="false" outlineLevel="0" max="4" min="4" style="1" width="26"/>
    <col collapsed="false" customWidth="true" hidden="false" outlineLevel="0" max="5" min="5" style="1" width="16"/>
    <col collapsed="false" customWidth="true" hidden="false" outlineLevel="0" max="7" min="6" style="1" width="14"/>
    <col collapsed="false" customWidth="true" hidden="false" outlineLevel="0" max="8" min="8" style="1" width="20"/>
  </cols>
  <sheetData>
    <row r="1" customFormat="false" ht="26.25" hidden="false" customHeight="true" outlineLevel="0" collapsed="false">
      <c r="A1" s="13" t="s">
        <v>14</v>
      </c>
      <c r="B1" s="13" t="s">
        <v>27</v>
      </c>
      <c r="C1" s="13" t="s">
        <v>16</v>
      </c>
      <c r="D1" s="13" t="s">
        <v>28</v>
      </c>
      <c r="E1" s="13" t="s">
        <v>18</v>
      </c>
      <c r="F1" s="13" t="s">
        <v>29</v>
      </c>
      <c r="G1" s="13" t="s">
        <v>30</v>
      </c>
      <c r="H1" s="13" t="s">
        <v>31</v>
      </c>
    </row>
    <row r="2" customFormat="false" ht="15" hidden="false" customHeight="true" outlineLevel="0" collapsed="false">
      <c r="A2" s="14"/>
      <c r="B2" s="15"/>
      <c r="C2" s="15"/>
      <c r="D2" s="15"/>
      <c r="E2" s="15"/>
      <c r="F2" s="16"/>
      <c r="G2" s="15"/>
      <c r="H2" s="16"/>
    </row>
    <row r="3" customFormat="false" ht="15" hidden="false" customHeight="true" outlineLevel="0" collapsed="false">
      <c r="A3" s="17"/>
      <c r="F3" s="18"/>
      <c r="H3" s="18"/>
    </row>
    <row r="4" customFormat="false" ht="15" hidden="false" customHeight="true" outlineLevel="0" collapsed="false">
      <c r="A4" s="17"/>
      <c r="F4" s="18"/>
      <c r="H4" s="18"/>
    </row>
    <row r="5" customFormat="false" ht="15" hidden="false" customHeight="true" outlineLevel="0" collapsed="false">
      <c r="A5" s="17"/>
      <c r="F5" s="18"/>
      <c r="H5" s="18"/>
    </row>
    <row r="6" customFormat="false" ht="15" hidden="false" customHeight="true" outlineLevel="0" collapsed="false">
      <c r="A6" s="17"/>
      <c r="F6" s="18"/>
      <c r="H6" s="18"/>
    </row>
    <row r="7" customFormat="false" ht="15" hidden="false" customHeight="true" outlineLevel="0" collapsed="false">
      <c r="A7" s="17"/>
      <c r="F7" s="18"/>
      <c r="H7" s="18"/>
    </row>
    <row r="8" customFormat="false" ht="15" hidden="false" customHeight="true" outlineLevel="0" collapsed="false">
      <c r="A8" s="17"/>
      <c r="F8" s="18"/>
      <c r="H8" s="18"/>
    </row>
    <row r="9" customFormat="false" ht="15" hidden="false" customHeight="true" outlineLevel="0" collapsed="false">
      <c r="A9" s="17"/>
      <c r="F9" s="18"/>
      <c r="H9" s="18"/>
    </row>
    <row r="10" customFormat="false" ht="15" hidden="false" customHeight="true" outlineLevel="0" collapsed="false">
      <c r="A10" s="17"/>
      <c r="F10" s="18"/>
      <c r="H10" s="18"/>
    </row>
    <row r="11" customFormat="false" ht="15" hidden="false" customHeight="true" outlineLevel="0" collapsed="false">
      <c r="A11" s="17"/>
      <c r="F11" s="18"/>
      <c r="H11" s="18"/>
    </row>
    <row r="12" customFormat="false" ht="15" hidden="false" customHeight="true" outlineLevel="0" collapsed="false">
      <c r="A12" s="17"/>
      <c r="F12" s="18"/>
      <c r="H12" s="18"/>
    </row>
    <row r="13" customFormat="false" ht="15" hidden="false" customHeight="true" outlineLevel="0" collapsed="false">
      <c r="A13" s="17"/>
      <c r="F13" s="18"/>
      <c r="H13" s="18"/>
    </row>
    <row r="14" customFormat="false" ht="15" hidden="false" customHeight="true" outlineLevel="0" collapsed="false">
      <c r="A14" s="17"/>
      <c r="F14" s="18"/>
      <c r="H14" s="18"/>
    </row>
    <row r="15" customFormat="false" ht="15" hidden="false" customHeight="true" outlineLevel="0" collapsed="false">
      <c r="A15" s="17"/>
      <c r="F15" s="18"/>
      <c r="H15" s="18"/>
    </row>
    <row r="16" customFormat="false" ht="15" hidden="false" customHeight="true" outlineLevel="0" collapsed="false">
      <c r="A16" s="17"/>
      <c r="F16" s="18"/>
      <c r="H16" s="18"/>
    </row>
    <row r="17" customFormat="false" ht="15" hidden="false" customHeight="true" outlineLevel="0" collapsed="false">
      <c r="A17" s="17"/>
      <c r="F17" s="18"/>
      <c r="H17" s="18"/>
    </row>
    <row r="18" customFormat="false" ht="15" hidden="false" customHeight="true" outlineLevel="0" collapsed="false">
      <c r="A18" s="17"/>
      <c r="F18" s="18"/>
      <c r="H18" s="18"/>
    </row>
    <row r="19" customFormat="false" ht="15" hidden="false" customHeight="true" outlineLevel="0" collapsed="false">
      <c r="A19" s="17"/>
      <c r="F19" s="18"/>
      <c r="H19" s="18"/>
    </row>
    <row r="20" customFormat="false" ht="15" hidden="false" customHeight="true" outlineLevel="0" collapsed="false">
      <c r="A20" s="17"/>
      <c r="F20" s="18"/>
      <c r="H20" s="18"/>
    </row>
    <row r="21" customFormat="false" ht="15" hidden="false" customHeight="true" outlineLevel="0" collapsed="false">
      <c r="A21" s="17"/>
      <c r="F21" s="18"/>
      <c r="H21" s="18"/>
    </row>
    <row r="22" customFormat="false" ht="15" hidden="false" customHeight="true" outlineLevel="0" collapsed="false">
      <c r="A22" s="17"/>
      <c r="F22" s="18"/>
      <c r="H22" s="18"/>
    </row>
    <row r="23" customFormat="false" ht="15" hidden="false" customHeight="true" outlineLevel="0" collapsed="false">
      <c r="A23" s="17"/>
      <c r="F23" s="18"/>
      <c r="H23" s="18"/>
    </row>
    <row r="24" customFormat="false" ht="15" hidden="false" customHeight="true" outlineLevel="0" collapsed="false">
      <c r="A24" s="17"/>
      <c r="F24" s="18"/>
      <c r="H24" s="18"/>
    </row>
    <row r="25" customFormat="false" ht="15" hidden="false" customHeight="true" outlineLevel="0" collapsed="false">
      <c r="A25" s="17"/>
      <c r="F25" s="18"/>
      <c r="H25" s="18"/>
    </row>
    <row r="26" customFormat="false" ht="15" hidden="false" customHeight="true" outlineLevel="0" collapsed="false">
      <c r="A26" s="17"/>
      <c r="F26" s="18"/>
      <c r="H26" s="18"/>
    </row>
    <row r="27" customFormat="false" ht="15" hidden="false" customHeight="true" outlineLevel="0" collapsed="false">
      <c r="A27" s="17"/>
      <c r="F27" s="18"/>
      <c r="H27" s="18"/>
    </row>
    <row r="28" customFormat="false" ht="15" hidden="false" customHeight="true" outlineLevel="0" collapsed="false">
      <c r="A28" s="17"/>
      <c r="F28" s="18"/>
      <c r="H28" s="18"/>
    </row>
    <row r="29" customFormat="false" ht="15" hidden="false" customHeight="true" outlineLevel="0" collapsed="false">
      <c r="A29" s="17"/>
      <c r="F29" s="18"/>
      <c r="H29" s="18"/>
    </row>
    <row r="30" customFormat="false" ht="15" hidden="false" customHeight="true" outlineLevel="0" collapsed="false">
      <c r="A30" s="17"/>
      <c r="F30" s="18"/>
      <c r="H30" s="18"/>
    </row>
    <row r="31" customFormat="false" ht="15" hidden="false" customHeight="true" outlineLevel="0" collapsed="false">
      <c r="A31" s="17"/>
      <c r="F31" s="18"/>
      <c r="H31" s="18"/>
    </row>
    <row r="32" customFormat="false" ht="15" hidden="false" customHeight="true" outlineLevel="0" collapsed="false">
      <c r="A32" s="17"/>
      <c r="F32" s="18"/>
      <c r="H32" s="18"/>
    </row>
    <row r="33" customFormat="false" ht="15" hidden="false" customHeight="true" outlineLevel="0" collapsed="false">
      <c r="A33" s="17"/>
      <c r="F33" s="18"/>
      <c r="H33" s="18"/>
    </row>
    <row r="34" customFormat="false" ht="15" hidden="false" customHeight="true" outlineLevel="0" collapsed="false">
      <c r="A34" s="17"/>
      <c r="F34" s="18"/>
      <c r="H34" s="18"/>
    </row>
    <row r="35" customFormat="false" ht="15" hidden="false" customHeight="true" outlineLevel="0" collapsed="false">
      <c r="A35" s="17"/>
      <c r="F35" s="18"/>
      <c r="H35" s="18"/>
    </row>
    <row r="36" customFormat="false" ht="15" hidden="false" customHeight="true" outlineLevel="0" collapsed="false">
      <c r="A36" s="17"/>
      <c r="F36" s="18"/>
      <c r="H36" s="18"/>
    </row>
    <row r="37" customFormat="false" ht="15" hidden="false" customHeight="true" outlineLevel="0" collapsed="false">
      <c r="A37" s="17"/>
      <c r="F37" s="18"/>
      <c r="H37" s="18"/>
    </row>
    <row r="38" customFormat="false" ht="15" hidden="false" customHeight="true" outlineLevel="0" collapsed="false">
      <c r="A38" s="17"/>
      <c r="F38" s="18"/>
      <c r="H38" s="18"/>
    </row>
    <row r="39" customFormat="false" ht="15" hidden="false" customHeight="true" outlineLevel="0" collapsed="false">
      <c r="A39" s="17"/>
      <c r="F39" s="18"/>
      <c r="H39" s="18"/>
    </row>
    <row r="40" customFormat="false" ht="15" hidden="false" customHeight="true" outlineLevel="0" collapsed="false">
      <c r="A40" s="17"/>
      <c r="F40" s="18"/>
      <c r="H40" s="18"/>
    </row>
    <row r="41" customFormat="false" ht="15" hidden="false" customHeight="true" outlineLevel="0" collapsed="false">
      <c r="A41" s="17"/>
      <c r="F41" s="18"/>
      <c r="H41" s="18"/>
    </row>
    <row r="42" customFormat="false" ht="15" hidden="false" customHeight="true" outlineLevel="0" collapsed="false">
      <c r="A42" s="17"/>
      <c r="F42" s="18"/>
      <c r="H42" s="18"/>
    </row>
    <row r="43" customFormat="false" ht="15" hidden="false" customHeight="true" outlineLevel="0" collapsed="false">
      <c r="A43" s="17"/>
      <c r="F43" s="18"/>
      <c r="H43" s="18"/>
    </row>
    <row r="44" customFormat="false" ht="15" hidden="false" customHeight="true" outlineLevel="0" collapsed="false">
      <c r="A44" s="17"/>
      <c r="F44" s="18"/>
      <c r="H44" s="18"/>
    </row>
    <row r="45" customFormat="false" ht="15" hidden="false" customHeight="true" outlineLevel="0" collapsed="false">
      <c r="A45" s="17"/>
      <c r="F45" s="18"/>
      <c r="H45" s="18"/>
    </row>
    <row r="46" customFormat="false" ht="15" hidden="false" customHeight="true" outlineLevel="0" collapsed="false">
      <c r="A46" s="17"/>
      <c r="F46" s="18"/>
      <c r="H46" s="18"/>
    </row>
    <row r="47" customFormat="false" ht="15" hidden="false" customHeight="true" outlineLevel="0" collapsed="false">
      <c r="A47" s="17"/>
      <c r="F47" s="18"/>
      <c r="H47" s="18"/>
    </row>
    <row r="48" customFormat="false" ht="15" hidden="false" customHeight="true" outlineLevel="0" collapsed="false">
      <c r="A48" s="17"/>
      <c r="F48" s="18"/>
      <c r="H48" s="18"/>
    </row>
    <row r="49" customFormat="false" ht="15" hidden="false" customHeight="true" outlineLevel="0" collapsed="false">
      <c r="A49" s="17"/>
      <c r="F49" s="18"/>
      <c r="H49" s="18"/>
    </row>
    <row r="50" customFormat="false" ht="15" hidden="false" customHeight="true" outlineLevel="0" collapsed="false">
      <c r="A50" s="17"/>
      <c r="F50" s="18"/>
      <c r="H50" s="18"/>
    </row>
    <row r="51" customFormat="false" ht="15" hidden="false" customHeight="true" outlineLevel="0" collapsed="false">
      <c r="A51" s="17"/>
      <c r="F51" s="18"/>
      <c r="H51" s="18"/>
    </row>
    <row r="52" customFormat="false" ht="15" hidden="false" customHeight="true" outlineLevel="0" collapsed="false">
      <c r="A52" s="17"/>
      <c r="F52" s="18"/>
      <c r="H52" s="18"/>
    </row>
    <row r="53" customFormat="false" ht="15" hidden="false" customHeight="true" outlineLevel="0" collapsed="false">
      <c r="A53" s="17"/>
      <c r="F53" s="18"/>
      <c r="H53" s="18"/>
    </row>
    <row r="54" customFormat="false" ht="15" hidden="false" customHeight="true" outlineLevel="0" collapsed="false">
      <c r="A54" s="17"/>
      <c r="F54" s="18"/>
      <c r="H54" s="18"/>
    </row>
    <row r="55" customFormat="false" ht="15" hidden="false" customHeight="true" outlineLevel="0" collapsed="false">
      <c r="A55" s="17"/>
      <c r="F55" s="18"/>
      <c r="H55" s="18"/>
    </row>
    <row r="56" customFormat="false" ht="15" hidden="false" customHeight="true" outlineLevel="0" collapsed="false">
      <c r="A56" s="17"/>
      <c r="F56" s="18"/>
      <c r="H56" s="18"/>
    </row>
    <row r="57" customFormat="false" ht="15" hidden="false" customHeight="true" outlineLevel="0" collapsed="false">
      <c r="A57" s="17"/>
      <c r="F57" s="18"/>
      <c r="H57" s="18"/>
    </row>
    <row r="58" customFormat="false" ht="15" hidden="false" customHeight="true" outlineLevel="0" collapsed="false">
      <c r="A58" s="17"/>
      <c r="F58" s="18"/>
      <c r="H58" s="18"/>
    </row>
    <row r="59" customFormat="false" ht="15" hidden="false" customHeight="true" outlineLevel="0" collapsed="false">
      <c r="A59" s="17"/>
      <c r="F59" s="18"/>
      <c r="H59" s="18"/>
    </row>
    <row r="60" customFormat="false" ht="15" hidden="false" customHeight="true" outlineLevel="0" collapsed="false">
      <c r="A60" s="17"/>
      <c r="F60" s="18"/>
      <c r="H60" s="18"/>
    </row>
    <row r="61" customFormat="false" ht="15" hidden="false" customHeight="true" outlineLevel="0" collapsed="false">
      <c r="A61" s="17"/>
      <c r="F61" s="18"/>
      <c r="H61" s="18"/>
    </row>
    <row r="62" customFormat="false" ht="15" hidden="false" customHeight="true" outlineLevel="0" collapsed="false">
      <c r="A62" s="17"/>
      <c r="F62" s="18"/>
      <c r="H62" s="18"/>
    </row>
    <row r="63" customFormat="false" ht="15" hidden="false" customHeight="true" outlineLevel="0" collapsed="false">
      <c r="A63" s="17"/>
      <c r="F63" s="18"/>
      <c r="H63" s="18"/>
    </row>
    <row r="64" customFormat="false" ht="15" hidden="false" customHeight="true" outlineLevel="0" collapsed="false">
      <c r="A64" s="17"/>
      <c r="F64" s="18"/>
      <c r="H64" s="18"/>
    </row>
    <row r="65" customFormat="false" ht="15" hidden="false" customHeight="true" outlineLevel="0" collapsed="false">
      <c r="A65" s="17"/>
      <c r="F65" s="18"/>
      <c r="H65" s="18"/>
    </row>
    <row r="66" customFormat="false" ht="15" hidden="false" customHeight="true" outlineLevel="0" collapsed="false">
      <c r="A66" s="17"/>
      <c r="F66" s="18"/>
      <c r="H66" s="18"/>
    </row>
    <row r="67" customFormat="false" ht="15" hidden="false" customHeight="true" outlineLevel="0" collapsed="false">
      <c r="A67" s="17"/>
      <c r="F67" s="18"/>
      <c r="H67" s="18"/>
    </row>
    <row r="68" customFormat="false" ht="15" hidden="false" customHeight="true" outlineLevel="0" collapsed="false">
      <c r="A68" s="17"/>
      <c r="F68" s="18"/>
      <c r="H68" s="18"/>
    </row>
    <row r="69" customFormat="false" ht="15" hidden="false" customHeight="true" outlineLevel="0" collapsed="false">
      <c r="A69" s="17"/>
      <c r="F69" s="18"/>
      <c r="H69" s="18"/>
    </row>
    <row r="70" customFormat="false" ht="15" hidden="false" customHeight="true" outlineLevel="0" collapsed="false">
      <c r="A70" s="17"/>
      <c r="F70" s="18"/>
      <c r="H70" s="18"/>
    </row>
    <row r="71" customFormat="false" ht="15" hidden="false" customHeight="true" outlineLevel="0" collapsed="false">
      <c r="A71" s="17"/>
      <c r="F71" s="18"/>
      <c r="H71" s="18"/>
    </row>
    <row r="72" customFormat="false" ht="15" hidden="false" customHeight="true" outlineLevel="0" collapsed="false">
      <c r="A72" s="17"/>
      <c r="F72" s="18"/>
      <c r="H72" s="18"/>
    </row>
    <row r="73" customFormat="false" ht="15" hidden="false" customHeight="true" outlineLevel="0" collapsed="false">
      <c r="A73" s="17"/>
      <c r="F73" s="18"/>
      <c r="H73" s="18"/>
    </row>
    <row r="74" customFormat="false" ht="15" hidden="false" customHeight="true" outlineLevel="0" collapsed="false">
      <c r="A74" s="17"/>
      <c r="F74" s="18"/>
      <c r="H74" s="18"/>
    </row>
    <row r="75" customFormat="false" ht="15" hidden="false" customHeight="true" outlineLevel="0" collapsed="false">
      <c r="A75" s="17"/>
      <c r="F75" s="18"/>
      <c r="H75" s="18"/>
    </row>
    <row r="76" customFormat="false" ht="15" hidden="false" customHeight="true" outlineLevel="0" collapsed="false">
      <c r="A76" s="17"/>
      <c r="F76" s="18"/>
      <c r="H76" s="18"/>
    </row>
    <row r="77" customFormat="false" ht="15" hidden="false" customHeight="true" outlineLevel="0" collapsed="false">
      <c r="A77" s="17"/>
      <c r="F77" s="18"/>
      <c r="H77" s="18"/>
    </row>
    <row r="78" customFormat="false" ht="15" hidden="false" customHeight="true" outlineLevel="0" collapsed="false">
      <c r="A78" s="17"/>
      <c r="F78" s="18"/>
      <c r="H78" s="18"/>
    </row>
    <row r="79" customFormat="false" ht="15" hidden="false" customHeight="true" outlineLevel="0" collapsed="false">
      <c r="A79" s="17"/>
      <c r="F79" s="18"/>
      <c r="H79" s="18"/>
    </row>
    <row r="80" customFormat="false" ht="15" hidden="false" customHeight="true" outlineLevel="0" collapsed="false">
      <c r="A80" s="17"/>
      <c r="F80" s="18"/>
      <c r="H80" s="18"/>
    </row>
    <row r="81" customFormat="false" ht="15" hidden="false" customHeight="true" outlineLevel="0" collapsed="false">
      <c r="A81" s="17"/>
      <c r="F81" s="18"/>
      <c r="H81" s="18"/>
    </row>
    <row r="82" customFormat="false" ht="15" hidden="false" customHeight="true" outlineLevel="0" collapsed="false">
      <c r="A82" s="17"/>
      <c r="F82" s="18"/>
      <c r="H82" s="18"/>
    </row>
    <row r="83" customFormat="false" ht="15" hidden="false" customHeight="true" outlineLevel="0" collapsed="false">
      <c r="A83" s="17"/>
      <c r="F83" s="18"/>
      <c r="H83" s="18"/>
    </row>
    <row r="84" customFormat="false" ht="15" hidden="false" customHeight="true" outlineLevel="0" collapsed="false">
      <c r="A84" s="17"/>
      <c r="F84" s="18"/>
      <c r="H84" s="18"/>
    </row>
    <row r="85" customFormat="false" ht="15" hidden="false" customHeight="true" outlineLevel="0" collapsed="false">
      <c r="A85" s="17"/>
      <c r="F85" s="18"/>
      <c r="H85" s="18"/>
    </row>
    <row r="86" customFormat="false" ht="15" hidden="false" customHeight="true" outlineLevel="0" collapsed="false">
      <c r="A86" s="17"/>
      <c r="F86" s="18"/>
      <c r="H86" s="18"/>
    </row>
    <row r="87" customFormat="false" ht="15" hidden="false" customHeight="true" outlineLevel="0" collapsed="false">
      <c r="A87" s="17"/>
      <c r="F87" s="18"/>
      <c r="H87" s="18"/>
    </row>
    <row r="88" customFormat="false" ht="15" hidden="false" customHeight="true" outlineLevel="0" collapsed="false">
      <c r="A88" s="17"/>
      <c r="F88" s="18"/>
      <c r="H88" s="18"/>
    </row>
    <row r="89" customFormat="false" ht="15" hidden="false" customHeight="true" outlineLevel="0" collapsed="false">
      <c r="A89" s="17"/>
      <c r="F89" s="18"/>
      <c r="H89" s="18"/>
    </row>
    <row r="90" customFormat="false" ht="15" hidden="false" customHeight="true" outlineLevel="0" collapsed="false">
      <c r="A90" s="17"/>
      <c r="F90" s="18"/>
      <c r="H90" s="18"/>
    </row>
    <row r="91" customFormat="false" ht="15" hidden="false" customHeight="true" outlineLevel="0" collapsed="false">
      <c r="A91" s="17"/>
      <c r="F91" s="18"/>
      <c r="H91" s="18"/>
    </row>
    <row r="92" customFormat="false" ht="15" hidden="false" customHeight="true" outlineLevel="0" collapsed="false">
      <c r="A92" s="17"/>
      <c r="F92" s="18"/>
      <c r="H92" s="18"/>
    </row>
    <row r="93" customFormat="false" ht="15" hidden="false" customHeight="true" outlineLevel="0" collapsed="false">
      <c r="A93" s="17"/>
      <c r="F93" s="18"/>
      <c r="H93" s="18"/>
    </row>
    <row r="94" customFormat="false" ht="15" hidden="false" customHeight="true" outlineLevel="0" collapsed="false">
      <c r="A94" s="17"/>
      <c r="F94" s="18"/>
      <c r="H94" s="18"/>
    </row>
    <row r="95" customFormat="false" ht="15" hidden="false" customHeight="true" outlineLevel="0" collapsed="false">
      <c r="A95" s="17"/>
      <c r="F95" s="18"/>
      <c r="H95" s="18"/>
    </row>
    <row r="96" customFormat="false" ht="15" hidden="false" customHeight="true" outlineLevel="0" collapsed="false">
      <c r="A96" s="17"/>
      <c r="F96" s="18"/>
      <c r="H96" s="18"/>
    </row>
    <row r="97" customFormat="false" ht="15" hidden="false" customHeight="true" outlineLevel="0" collapsed="false">
      <c r="A97" s="17"/>
      <c r="F97" s="18"/>
      <c r="H97" s="18"/>
    </row>
    <row r="98" customFormat="false" ht="15" hidden="false" customHeight="true" outlineLevel="0" collapsed="false">
      <c r="A98" s="17"/>
      <c r="F98" s="18"/>
      <c r="H98" s="18"/>
    </row>
    <row r="99" customFormat="false" ht="15" hidden="false" customHeight="true" outlineLevel="0" collapsed="false">
      <c r="A99" s="17"/>
      <c r="F99" s="18"/>
      <c r="H99" s="18"/>
    </row>
    <row r="100" customFormat="false" ht="15" hidden="false" customHeight="true" outlineLevel="0" collapsed="false">
      <c r="A100" s="17"/>
      <c r="F100" s="18"/>
      <c r="H100" s="18"/>
    </row>
    <row r="101" customFormat="false" ht="15" hidden="false" customHeight="true" outlineLevel="0" collapsed="false">
      <c r="A101" s="17"/>
      <c r="F101" s="18"/>
      <c r="H101" s="18"/>
    </row>
    <row r="102" customFormat="false" ht="15" hidden="false" customHeight="true" outlineLevel="0" collapsed="false">
      <c r="A102" s="17"/>
      <c r="F102" s="18"/>
      <c r="H102" s="18"/>
    </row>
    <row r="103" customFormat="false" ht="15" hidden="false" customHeight="true" outlineLevel="0" collapsed="false">
      <c r="A103" s="17"/>
      <c r="F103" s="18"/>
      <c r="H103" s="18"/>
    </row>
    <row r="104" customFormat="false" ht="15" hidden="false" customHeight="true" outlineLevel="0" collapsed="false">
      <c r="A104" s="17"/>
      <c r="F104" s="18"/>
      <c r="H104" s="18"/>
    </row>
    <row r="105" customFormat="false" ht="15" hidden="false" customHeight="true" outlineLevel="0" collapsed="false">
      <c r="A105" s="17"/>
      <c r="F105" s="18"/>
      <c r="H105" s="18"/>
    </row>
    <row r="106" customFormat="false" ht="15" hidden="false" customHeight="true" outlineLevel="0" collapsed="false">
      <c r="A106" s="17"/>
      <c r="F106" s="18"/>
      <c r="H106" s="18"/>
    </row>
    <row r="107" customFormat="false" ht="15" hidden="false" customHeight="true" outlineLevel="0" collapsed="false">
      <c r="A107" s="17"/>
      <c r="F107" s="18"/>
      <c r="H107" s="18"/>
    </row>
    <row r="108" customFormat="false" ht="15" hidden="false" customHeight="true" outlineLevel="0" collapsed="false">
      <c r="A108" s="17"/>
      <c r="F108" s="18"/>
      <c r="H108" s="18"/>
    </row>
    <row r="109" customFormat="false" ht="15" hidden="false" customHeight="true" outlineLevel="0" collapsed="false">
      <c r="A109" s="17"/>
      <c r="F109" s="18"/>
      <c r="H109" s="18"/>
    </row>
    <row r="110" customFormat="false" ht="15" hidden="false" customHeight="true" outlineLevel="0" collapsed="false">
      <c r="A110" s="17"/>
      <c r="F110" s="18"/>
      <c r="H110" s="18"/>
    </row>
    <row r="111" customFormat="false" ht="15" hidden="false" customHeight="true" outlineLevel="0" collapsed="false">
      <c r="A111" s="17"/>
      <c r="F111" s="18"/>
      <c r="H111" s="18"/>
    </row>
    <row r="112" customFormat="false" ht="15" hidden="false" customHeight="true" outlineLevel="0" collapsed="false">
      <c r="A112" s="17"/>
      <c r="F112" s="18"/>
      <c r="H112" s="18"/>
    </row>
    <row r="113" customFormat="false" ht="15" hidden="false" customHeight="true" outlineLevel="0" collapsed="false">
      <c r="A113" s="17"/>
      <c r="F113" s="18"/>
      <c r="H113" s="18"/>
    </row>
    <row r="114" customFormat="false" ht="15" hidden="false" customHeight="true" outlineLevel="0" collapsed="false">
      <c r="A114" s="17"/>
      <c r="F114" s="18"/>
      <c r="H114" s="18"/>
    </row>
    <row r="115" customFormat="false" ht="15" hidden="false" customHeight="true" outlineLevel="0" collapsed="false">
      <c r="A115" s="17"/>
      <c r="F115" s="18"/>
      <c r="H115" s="18"/>
    </row>
    <row r="116" customFormat="false" ht="15" hidden="false" customHeight="true" outlineLevel="0" collapsed="false">
      <c r="A116" s="17"/>
      <c r="F116" s="18"/>
      <c r="H116" s="18"/>
    </row>
    <row r="117" customFormat="false" ht="15" hidden="false" customHeight="true" outlineLevel="0" collapsed="false">
      <c r="A117" s="17"/>
      <c r="F117" s="18"/>
      <c r="H117" s="18"/>
    </row>
    <row r="118" customFormat="false" ht="15" hidden="false" customHeight="true" outlineLevel="0" collapsed="false">
      <c r="A118" s="17"/>
      <c r="F118" s="18"/>
      <c r="H118" s="18"/>
    </row>
    <row r="119" customFormat="false" ht="15" hidden="false" customHeight="true" outlineLevel="0" collapsed="false">
      <c r="A119" s="17"/>
      <c r="F119" s="18"/>
      <c r="H119" s="18"/>
    </row>
    <row r="120" customFormat="false" ht="15" hidden="false" customHeight="true" outlineLevel="0" collapsed="false">
      <c r="A120" s="17"/>
      <c r="F120" s="18"/>
      <c r="H120" s="18"/>
    </row>
    <row r="121" customFormat="false" ht="15" hidden="false" customHeight="true" outlineLevel="0" collapsed="false">
      <c r="A121" s="17"/>
      <c r="F121" s="18"/>
      <c r="H121" s="18"/>
    </row>
    <row r="122" customFormat="false" ht="15" hidden="false" customHeight="true" outlineLevel="0" collapsed="false">
      <c r="A122" s="17"/>
      <c r="F122" s="18"/>
      <c r="H122" s="18"/>
    </row>
    <row r="123" customFormat="false" ht="15" hidden="false" customHeight="true" outlineLevel="0" collapsed="false">
      <c r="A123" s="17"/>
      <c r="F123" s="18"/>
      <c r="H123" s="18"/>
    </row>
    <row r="124" customFormat="false" ht="15" hidden="false" customHeight="true" outlineLevel="0" collapsed="false">
      <c r="A124" s="17"/>
      <c r="F124" s="18"/>
      <c r="H124" s="18"/>
    </row>
    <row r="125" customFormat="false" ht="15" hidden="false" customHeight="true" outlineLevel="0" collapsed="false">
      <c r="A125" s="17"/>
      <c r="F125" s="18"/>
      <c r="H125" s="18"/>
    </row>
    <row r="126" customFormat="false" ht="15" hidden="false" customHeight="true" outlineLevel="0" collapsed="false">
      <c r="A126" s="17"/>
      <c r="F126" s="18"/>
      <c r="H126" s="18"/>
    </row>
    <row r="127" customFormat="false" ht="15" hidden="false" customHeight="true" outlineLevel="0" collapsed="false">
      <c r="A127" s="17"/>
      <c r="F127" s="18"/>
      <c r="H127" s="18"/>
    </row>
    <row r="128" customFormat="false" ht="15" hidden="false" customHeight="true" outlineLevel="0" collapsed="false">
      <c r="A128" s="17"/>
      <c r="F128" s="18"/>
      <c r="H128" s="18"/>
    </row>
    <row r="129" customFormat="false" ht="15" hidden="false" customHeight="true" outlineLevel="0" collapsed="false">
      <c r="A129" s="17"/>
      <c r="F129" s="18"/>
      <c r="H129" s="18"/>
    </row>
    <row r="130" customFormat="false" ht="15" hidden="false" customHeight="true" outlineLevel="0" collapsed="false">
      <c r="A130" s="17"/>
      <c r="F130" s="18"/>
      <c r="H130" s="18"/>
    </row>
    <row r="131" customFormat="false" ht="15" hidden="false" customHeight="true" outlineLevel="0" collapsed="false">
      <c r="A131" s="17"/>
      <c r="F131" s="18"/>
      <c r="H131" s="18"/>
    </row>
    <row r="132" customFormat="false" ht="15" hidden="false" customHeight="true" outlineLevel="0" collapsed="false">
      <c r="A132" s="17"/>
      <c r="F132" s="18"/>
      <c r="H132" s="18"/>
    </row>
    <row r="133" customFormat="false" ht="15" hidden="false" customHeight="true" outlineLevel="0" collapsed="false">
      <c r="A133" s="17"/>
      <c r="F133" s="18"/>
      <c r="H133" s="18"/>
    </row>
    <row r="134" customFormat="false" ht="15" hidden="false" customHeight="true" outlineLevel="0" collapsed="false">
      <c r="A134" s="17"/>
      <c r="F134" s="18"/>
      <c r="H134" s="18"/>
    </row>
    <row r="135" customFormat="false" ht="15" hidden="false" customHeight="true" outlineLevel="0" collapsed="false">
      <c r="A135" s="17"/>
      <c r="F135" s="18"/>
      <c r="H135" s="18"/>
    </row>
    <row r="136" customFormat="false" ht="15" hidden="false" customHeight="true" outlineLevel="0" collapsed="false">
      <c r="A136" s="17"/>
      <c r="F136" s="18"/>
      <c r="H136" s="18"/>
    </row>
    <row r="137" customFormat="false" ht="15" hidden="false" customHeight="true" outlineLevel="0" collapsed="false">
      <c r="A137" s="17"/>
      <c r="F137" s="18"/>
      <c r="H137" s="18"/>
    </row>
    <row r="138" customFormat="false" ht="15" hidden="false" customHeight="true" outlineLevel="0" collapsed="false">
      <c r="A138" s="17"/>
      <c r="F138" s="18"/>
      <c r="H138" s="18"/>
    </row>
    <row r="139" customFormat="false" ht="15" hidden="false" customHeight="true" outlineLevel="0" collapsed="false">
      <c r="A139" s="17"/>
      <c r="F139" s="18"/>
      <c r="H139" s="18"/>
    </row>
    <row r="140" customFormat="false" ht="15" hidden="false" customHeight="true" outlineLevel="0" collapsed="false">
      <c r="A140" s="17"/>
      <c r="F140" s="18"/>
      <c r="H140" s="18"/>
    </row>
    <row r="141" customFormat="false" ht="15" hidden="false" customHeight="true" outlineLevel="0" collapsed="false">
      <c r="A141" s="17"/>
      <c r="F141" s="18"/>
      <c r="H141" s="18"/>
    </row>
    <row r="142" customFormat="false" ht="15" hidden="false" customHeight="true" outlineLevel="0" collapsed="false">
      <c r="A142" s="17"/>
      <c r="F142" s="18"/>
      <c r="H142" s="18"/>
    </row>
    <row r="143" customFormat="false" ht="15" hidden="false" customHeight="true" outlineLevel="0" collapsed="false">
      <c r="A143" s="17"/>
      <c r="F143" s="18"/>
      <c r="H143" s="18"/>
    </row>
    <row r="144" customFormat="false" ht="15" hidden="false" customHeight="true" outlineLevel="0" collapsed="false">
      <c r="A144" s="17"/>
      <c r="F144" s="18"/>
      <c r="H144" s="18"/>
    </row>
    <row r="145" customFormat="false" ht="15" hidden="false" customHeight="true" outlineLevel="0" collapsed="false">
      <c r="A145" s="17"/>
      <c r="F145" s="18"/>
      <c r="H145" s="18"/>
    </row>
    <row r="146" customFormat="false" ht="15" hidden="false" customHeight="true" outlineLevel="0" collapsed="false">
      <c r="A146" s="17"/>
      <c r="F146" s="18"/>
      <c r="H146" s="18"/>
    </row>
    <row r="147" customFormat="false" ht="15" hidden="false" customHeight="true" outlineLevel="0" collapsed="false">
      <c r="A147" s="17"/>
      <c r="F147" s="18"/>
      <c r="H147" s="18"/>
    </row>
    <row r="148" customFormat="false" ht="15" hidden="false" customHeight="true" outlineLevel="0" collapsed="false">
      <c r="A148" s="17"/>
      <c r="F148" s="18"/>
      <c r="H148" s="18"/>
    </row>
    <row r="149" customFormat="false" ht="15" hidden="false" customHeight="true" outlineLevel="0" collapsed="false">
      <c r="A149" s="17"/>
      <c r="F149" s="18"/>
      <c r="H149" s="18"/>
    </row>
    <row r="150" customFormat="false" ht="15" hidden="false" customHeight="true" outlineLevel="0" collapsed="false">
      <c r="A150" s="17"/>
      <c r="F150" s="18"/>
      <c r="H150" s="18"/>
    </row>
    <row r="151" customFormat="false" ht="15" hidden="false" customHeight="true" outlineLevel="0" collapsed="false">
      <c r="A151" s="17"/>
      <c r="F151" s="18"/>
      <c r="H151" s="18"/>
    </row>
    <row r="152" customFormat="false" ht="15" hidden="false" customHeight="true" outlineLevel="0" collapsed="false">
      <c r="A152" s="17"/>
      <c r="F152" s="18"/>
      <c r="H152" s="18"/>
    </row>
    <row r="153" customFormat="false" ht="15" hidden="false" customHeight="true" outlineLevel="0" collapsed="false">
      <c r="A153" s="17"/>
      <c r="F153" s="18"/>
      <c r="H153" s="18"/>
    </row>
    <row r="154" customFormat="false" ht="15" hidden="false" customHeight="true" outlineLevel="0" collapsed="false">
      <c r="A154" s="17"/>
      <c r="F154" s="18"/>
      <c r="H154" s="18"/>
    </row>
    <row r="155" customFormat="false" ht="15" hidden="false" customHeight="true" outlineLevel="0" collapsed="false">
      <c r="A155" s="17"/>
      <c r="F155" s="18"/>
      <c r="H155" s="18"/>
    </row>
    <row r="156" customFormat="false" ht="15" hidden="false" customHeight="true" outlineLevel="0" collapsed="false">
      <c r="A156" s="17"/>
      <c r="F156" s="18"/>
      <c r="H156" s="18"/>
    </row>
    <row r="157" customFormat="false" ht="15" hidden="false" customHeight="true" outlineLevel="0" collapsed="false">
      <c r="A157" s="17"/>
      <c r="F157" s="18"/>
      <c r="H157" s="18"/>
    </row>
    <row r="158" customFormat="false" ht="15" hidden="false" customHeight="true" outlineLevel="0" collapsed="false">
      <c r="A158" s="17"/>
      <c r="F158" s="18"/>
      <c r="H158" s="18"/>
    </row>
    <row r="159" customFormat="false" ht="15" hidden="false" customHeight="true" outlineLevel="0" collapsed="false">
      <c r="A159" s="17"/>
      <c r="F159" s="18"/>
      <c r="H159" s="18"/>
    </row>
    <row r="160" customFormat="false" ht="15" hidden="false" customHeight="true" outlineLevel="0" collapsed="false">
      <c r="A160" s="17"/>
      <c r="F160" s="18"/>
      <c r="H160" s="18"/>
    </row>
    <row r="161" customFormat="false" ht="15" hidden="false" customHeight="true" outlineLevel="0" collapsed="false">
      <c r="A161" s="17"/>
      <c r="F161" s="18"/>
      <c r="H161" s="18"/>
    </row>
    <row r="162" customFormat="false" ht="15" hidden="false" customHeight="true" outlineLevel="0" collapsed="false">
      <c r="A162" s="17"/>
      <c r="F162" s="18"/>
      <c r="H162" s="18"/>
    </row>
    <row r="163" customFormat="false" ht="15" hidden="false" customHeight="true" outlineLevel="0" collapsed="false">
      <c r="A163" s="17"/>
      <c r="F163" s="18"/>
      <c r="H163" s="18"/>
    </row>
    <row r="164" customFormat="false" ht="15" hidden="false" customHeight="true" outlineLevel="0" collapsed="false">
      <c r="A164" s="17"/>
      <c r="F164" s="18"/>
      <c r="H164" s="18"/>
    </row>
    <row r="165" customFormat="false" ht="15" hidden="false" customHeight="true" outlineLevel="0" collapsed="false">
      <c r="A165" s="17"/>
      <c r="F165" s="18"/>
      <c r="H165" s="18"/>
    </row>
    <row r="166" customFormat="false" ht="15" hidden="false" customHeight="true" outlineLevel="0" collapsed="false">
      <c r="A166" s="17"/>
      <c r="F166" s="18"/>
      <c r="H166" s="18"/>
    </row>
    <row r="167" customFormat="false" ht="15" hidden="false" customHeight="true" outlineLevel="0" collapsed="false">
      <c r="A167" s="17"/>
      <c r="F167" s="18"/>
      <c r="H167" s="18"/>
    </row>
    <row r="168" customFormat="false" ht="15" hidden="false" customHeight="true" outlineLevel="0" collapsed="false">
      <c r="A168" s="17"/>
      <c r="F168" s="18"/>
      <c r="H168" s="18"/>
    </row>
    <row r="169" customFormat="false" ht="15" hidden="false" customHeight="true" outlineLevel="0" collapsed="false">
      <c r="A169" s="17"/>
      <c r="F169" s="18"/>
      <c r="H169" s="18"/>
    </row>
    <row r="170" customFormat="false" ht="15" hidden="false" customHeight="true" outlineLevel="0" collapsed="false">
      <c r="A170" s="17"/>
      <c r="F170" s="18"/>
      <c r="H170" s="18"/>
    </row>
    <row r="171" customFormat="false" ht="15" hidden="false" customHeight="true" outlineLevel="0" collapsed="false">
      <c r="A171" s="17"/>
      <c r="F171" s="18"/>
      <c r="H171" s="18"/>
    </row>
    <row r="172" customFormat="false" ht="15" hidden="false" customHeight="true" outlineLevel="0" collapsed="false">
      <c r="A172" s="17"/>
      <c r="F172" s="18"/>
      <c r="H172" s="18"/>
    </row>
    <row r="173" customFormat="false" ht="15" hidden="false" customHeight="true" outlineLevel="0" collapsed="false">
      <c r="A173" s="17"/>
      <c r="F173" s="18"/>
      <c r="H173" s="18"/>
    </row>
    <row r="174" customFormat="false" ht="15" hidden="false" customHeight="true" outlineLevel="0" collapsed="false">
      <c r="A174" s="17"/>
      <c r="F174" s="18"/>
      <c r="H174" s="18"/>
    </row>
    <row r="175" customFormat="false" ht="15" hidden="false" customHeight="true" outlineLevel="0" collapsed="false">
      <c r="A175" s="17"/>
      <c r="F175" s="18"/>
      <c r="H175" s="18"/>
    </row>
    <row r="176" customFormat="false" ht="15" hidden="false" customHeight="true" outlineLevel="0" collapsed="false">
      <c r="A176" s="17"/>
      <c r="F176" s="18"/>
      <c r="H176" s="18"/>
    </row>
    <row r="177" customFormat="false" ht="15" hidden="false" customHeight="true" outlineLevel="0" collapsed="false">
      <c r="A177" s="17"/>
      <c r="F177" s="18"/>
      <c r="H177" s="18"/>
    </row>
    <row r="178" customFormat="false" ht="15" hidden="false" customHeight="true" outlineLevel="0" collapsed="false">
      <c r="A178" s="17"/>
      <c r="F178" s="18"/>
      <c r="H178" s="18"/>
    </row>
    <row r="179" customFormat="false" ht="15" hidden="false" customHeight="true" outlineLevel="0" collapsed="false">
      <c r="A179" s="17"/>
      <c r="F179" s="18"/>
      <c r="H179" s="18"/>
    </row>
    <row r="180" customFormat="false" ht="15" hidden="false" customHeight="true" outlineLevel="0" collapsed="false">
      <c r="A180" s="17"/>
      <c r="F180" s="18"/>
      <c r="H180" s="18"/>
    </row>
    <row r="181" customFormat="false" ht="15" hidden="false" customHeight="true" outlineLevel="0" collapsed="false">
      <c r="A181" s="17"/>
      <c r="F181" s="18"/>
      <c r="H181" s="18"/>
    </row>
    <row r="182" customFormat="false" ht="15" hidden="false" customHeight="true" outlineLevel="0" collapsed="false">
      <c r="A182" s="17"/>
      <c r="F182" s="18"/>
      <c r="H182" s="18"/>
    </row>
    <row r="183" customFormat="false" ht="15" hidden="false" customHeight="true" outlineLevel="0" collapsed="false">
      <c r="A183" s="17"/>
      <c r="F183" s="18"/>
      <c r="H183" s="18"/>
    </row>
    <row r="184" customFormat="false" ht="15" hidden="false" customHeight="true" outlineLevel="0" collapsed="false">
      <c r="A184" s="17"/>
      <c r="F184" s="18"/>
      <c r="H184" s="18"/>
    </row>
    <row r="185" customFormat="false" ht="15" hidden="false" customHeight="true" outlineLevel="0" collapsed="false">
      <c r="A185" s="17"/>
      <c r="F185" s="18"/>
      <c r="H185" s="18"/>
    </row>
    <row r="186" customFormat="false" ht="15" hidden="false" customHeight="true" outlineLevel="0" collapsed="false">
      <c r="A186" s="17"/>
      <c r="F186" s="18"/>
      <c r="H186" s="18"/>
    </row>
    <row r="187" customFormat="false" ht="15" hidden="false" customHeight="true" outlineLevel="0" collapsed="false">
      <c r="A187" s="17"/>
      <c r="F187" s="18"/>
      <c r="H187" s="18"/>
    </row>
    <row r="188" customFormat="false" ht="15" hidden="false" customHeight="true" outlineLevel="0" collapsed="false">
      <c r="A188" s="17"/>
      <c r="F188" s="18"/>
      <c r="H188" s="18"/>
    </row>
    <row r="189" customFormat="false" ht="15" hidden="false" customHeight="true" outlineLevel="0" collapsed="false">
      <c r="A189" s="17"/>
      <c r="F189" s="18"/>
      <c r="H189" s="18"/>
    </row>
    <row r="190" customFormat="false" ht="15" hidden="false" customHeight="true" outlineLevel="0" collapsed="false">
      <c r="A190" s="17"/>
      <c r="F190" s="18"/>
      <c r="H190" s="18"/>
    </row>
    <row r="191" customFormat="false" ht="15" hidden="false" customHeight="true" outlineLevel="0" collapsed="false">
      <c r="A191" s="17"/>
      <c r="F191" s="18"/>
      <c r="H191" s="18"/>
    </row>
    <row r="192" customFormat="false" ht="15" hidden="false" customHeight="true" outlineLevel="0" collapsed="false">
      <c r="A192" s="17"/>
      <c r="F192" s="18"/>
      <c r="H192" s="18"/>
    </row>
    <row r="193" customFormat="false" ht="15" hidden="false" customHeight="true" outlineLevel="0" collapsed="false">
      <c r="A193" s="17"/>
      <c r="F193" s="18"/>
      <c r="H193" s="18"/>
    </row>
    <row r="194" customFormat="false" ht="15" hidden="false" customHeight="true" outlineLevel="0" collapsed="false">
      <c r="A194" s="17"/>
      <c r="F194" s="18"/>
      <c r="H194" s="18"/>
    </row>
    <row r="195" customFormat="false" ht="15" hidden="false" customHeight="true" outlineLevel="0" collapsed="false">
      <c r="A195" s="17"/>
      <c r="F195" s="18"/>
      <c r="H195" s="18"/>
    </row>
    <row r="196" customFormat="false" ht="15" hidden="false" customHeight="true" outlineLevel="0" collapsed="false">
      <c r="A196" s="17"/>
      <c r="F196" s="18"/>
      <c r="H196" s="18"/>
    </row>
    <row r="197" customFormat="false" ht="15" hidden="false" customHeight="true" outlineLevel="0" collapsed="false">
      <c r="A197" s="17"/>
      <c r="F197" s="18"/>
      <c r="H197" s="18"/>
    </row>
    <row r="198" customFormat="false" ht="15" hidden="false" customHeight="true" outlineLevel="0" collapsed="false">
      <c r="A198" s="17"/>
      <c r="F198" s="18"/>
      <c r="H198" s="18"/>
    </row>
    <row r="199" customFormat="false" ht="15" hidden="false" customHeight="true" outlineLevel="0" collapsed="false">
      <c r="A199" s="17"/>
      <c r="F199" s="18"/>
      <c r="H199" s="18"/>
    </row>
    <row r="200" customFormat="false" ht="15" hidden="false" customHeight="true" outlineLevel="0" collapsed="false">
      <c r="A200" s="17"/>
      <c r="F200" s="18"/>
      <c r="H200" s="18"/>
    </row>
    <row r="201" customFormat="false" ht="15" hidden="false" customHeight="true" outlineLevel="0" collapsed="false">
      <c r="A201" s="17"/>
      <c r="F201" s="18"/>
      <c r="H201" s="18"/>
    </row>
    <row r="202" customFormat="false" ht="15" hidden="false" customHeight="true" outlineLevel="0" collapsed="false">
      <c r="A202" s="17"/>
      <c r="F202" s="18"/>
      <c r="H202" s="18"/>
    </row>
    <row r="203" customFormat="false" ht="15" hidden="false" customHeight="true" outlineLevel="0" collapsed="false">
      <c r="A203" s="17"/>
      <c r="F203" s="18"/>
      <c r="H203" s="18"/>
    </row>
    <row r="204" customFormat="false" ht="15" hidden="false" customHeight="true" outlineLevel="0" collapsed="false">
      <c r="A204" s="17"/>
      <c r="F204" s="18"/>
      <c r="H204" s="18"/>
    </row>
    <row r="205" customFormat="false" ht="15" hidden="false" customHeight="true" outlineLevel="0" collapsed="false">
      <c r="A205" s="17"/>
      <c r="F205" s="18"/>
      <c r="H205" s="18"/>
    </row>
    <row r="206" customFormat="false" ht="15" hidden="false" customHeight="true" outlineLevel="0" collapsed="false">
      <c r="A206" s="17"/>
      <c r="F206" s="18"/>
      <c r="H206" s="18"/>
    </row>
    <row r="207" customFormat="false" ht="15" hidden="false" customHeight="true" outlineLevel="0" collapsed="false">
      <c r="A207" s="17"/>
      <c r="F207" s="18"/>
      <c r="H207" s="18"/>
    </row>
    <row r="208" customFormat="false" ht="15" hidden="false" customHeight="true" outlineLevel="0" collapsed="false">
      <c r="A208" s="17"/>
      <c r="F208" s="18"/>
      <c r="H208" s="18"/>
    </row>
    <row r="209" customFormat="false" ht="15" hidden="false" customHeight="true" outlineLevel="0" collapsed="false">
      <c r="A209" s="17"/>
      <c r="F209" s="18"/>
      <c r="H209" s="18"/>
    </row>
    <row r="210" customFormat="false" ht="15" hidden="false" customHeight="true" outlineLevel="0" collapsed="false">
      <c r="A210" s="17"/>
      <c r="F210" s="18"/>
      <c r="H210" s="18"/>
    </row>
    <row r="211" customFormat="false" ht="15" hidden="false" customHeight="true" outlineLevel="0" collapsed="false">
      <c r="A211" s="17"/>
      <c r="F211" s="18"/>
      <c r="H211" s="18"/>
    </row>
    <row r="212" customFormat="false" ht="15" hidden="false" customHeight="true" outlineLevel="0" collapsed="false">
      <c r="A212" s="17"/>
      <c r="F212" s="18"/>
      <c r="H212" s="18"/>
    </row>
    <row r="213" customFormat="false" ht="15" hidden="false" customHeight="true" outlineLevel="0" collapsed="false">
      <c r="A213" s="17"/>
      <c r="F213" s="18"/>
      <c r="H213" s="18"/>
    </row>
    <row r="214" customFormat="false" ht="15" hidden="false" customHeight="true" outlineLevel="0" collapsed="false">
      <c r="A214" s="17"/>
      <c r="F214" s="18"/>
      <c r="H214" s="18"/>
    </row>
    <row r="215" customFormat="false" ht="15" hidden="false" customHeight="true" outlineLevel="0" collapsed="false">
      <c r="A215" s="17"/>
      <c r="F215" s="18"/>
      <c r="H215" s="18"/>
    </row>
    <row r="216" customFormat="false" ht="15" hidden="false" customHeight="true" outlineLevel="0" collapsed="false">
      <c r="A216" s="17"/>
      <c r="F216" s="18"/>
      <c r="H216" s="18"/>
    </row>
    <row r="217" customFormat="false" ht="15" hidden="false" customHeight="true" outlineLevel="0" collapsed="false">
      <c r="A217" s="17"/>
      <c r="F217" s="18"/>
      <c r="H217" s="18"/>
    </row>
    <row r="218" customFormat="false" ht="15" hidden="false" customHeight="true" outlineLevel="0" collapsed="false">
      <c r="A218" s="17"/>
      <c r="F218" s="18"/>
      <c r="H218" s="18"/>
    </row>
    <row r="219" customFormat="false" ht="15" hidden="false" customHeight="true" outlineLevel="0" collapsed="false">
      <c r="A219" s="17"/>
      <c r="F219" s="18"/>
      <c r="H219" s="18"/>
    </row>
    <row r="220" customFormat="false" ht="15" hidden="false" customHeight="true" outlineLevel="0" collapsed="false">
      <c r="A220" s="17"/>
      <c r="F220" s="18"/>
      <c r="H220" s="18"/>
    </row>
    <row r="221" customFormat="false" ht="15" hidden="false" customHeight="true" outlineLevel="0" collapsed="false">
      <c r="A221" s="17"/>
      <c r="F221" s="18"/>
      <c r="H221" s="18"/>
    </row>
    <row r="222" customFormat="false" ht="15" hidden="false" customHeight="true" outlineLevel="0" collapsed="false">
      <c r="A222" s="17"/>
      <c r="F222" s="18"/>
      <c r="H222" s="18"/>
    </row>
    <row r="223" customFormat="false" ht="15" hidden="false" customHeight="true" outlineLevel="0" collapsed="false">
      <c r="A223" s="17"/>
      <c r="F223" s="18"/>
      <c r="H223" s="18"/>
    </row>
    <row r="224" customFormat="false" ht="15" hidden="false" customHeight="true" outlineLevel="0" collapsed="false">
      <c r="A224" s="17"/>
      <c r="F224" s="18"/>
      <c r="H224" s="18"/>
    </row>
    <row r="225" customFormat="false" ht="15" hidden="false" customHeight="true" outlineLevel="0" collapsed="false">
      <c r="A225" s="17"/>
      <c r="F225" s="18"/>
      <c r="H225" s="18"/>
    </row>
    <row r="226" customFormat="false" ht="15" hidden="false" customHeight="true" outlineLevel="0" collapsed="false">
      <c r="A226" s="17"/>
      <c r="F226" s="18"/>
      <c r="H226" s="18"/>
    </row>
    <row r="227" customFormat="false" ht="15" hidden="false" customHeight="true" outlineLevel="0" collapsed="false">
      <c r="A227" s="17"/>
      <c r="F227" s="18"/>
      <c r="H227" s="18"/>
    </row>
    <row r="228" customFormat="false" ht="15" hidden="false" customHeight="true" outlineLevel="0" collapsed="false">
      <c r="A228" s="17"/>
      <c r="F228" s="18"/>
      <c r="H228" s="18"/>
    </row>
    <row r="229" customFormat="false" ht="15" hidden="false" customHeight="true" outlineLevel="0" collapsed="false">
      <c r="A229" s="17"/>
      <c r="F229" s="18"/>
      <c r="H229" s="18"/>
    </row>
    <row r="230" customFormat="false" ht="15" hidden="false" customHeight="true" outlineLevel="0" collapsed="false">
      <c r="A230" s="17"/>
      <c r="F230" s="18"/>
      <c r="H230" s="18"/>
    </row>
    <row r="231" customFormat="false" ht="15" hidden="false" customHeight="true" outlineLevel="0" collapsed="false">
      <c r="A231" s="17"/>
      <c r="F231" s="18"/>
      <c r="H231" s="18"/>
    </row>
    <row r="232" customFormat="false" ht="15" hidden="false" customHeight="true" outlineLevel="0" collapsed="false">
      <c r="A232" s="17"/>
      <c r="F232" s="18"/>
      <c r="H232" s="18"/>
    </row>
    <row r="233" customFormat="false" ht="15" hidden="false" customHeight="true" outlineLevel="0" collapsed="false">
      <c r="A233" s="17"/>
      <c r="F233" s="18"/>
      <c r="H233" s="18"/>
    </row>
    <row r="234" customFormat="false" ht="15" hidden="false" customHeight="true" outlineLevel="0" collapsed="false">
      <c r="A234" s="17"/>
      <c r="F234" s="18"/>
      <c r="H234" s="18"/>
    </row>
    <row r="235" customFormat="false" ht="15" hidden="false" customHeight="true" outlineLevel="0" collapsed="false">
      <c r="A235" s="17"/>
      <c r="F235" s="18"/>
      <c r="H235" s="18"/>
    </row>
    <row r="236" customFormat="false" ht="15" hidden="false" customHeight="true" outlineLevel="0" collapsed="false">
      <c r="A236" s="17"/>
      <c r="F236" s="18"/>
      <c r="H236" s="18"/>
    </row>
    <row r="237" customFormat="false" ht="15" hidden="false" customHeight="true" outlineLevel="0" collapsed="false">
      <c r="A237" s="17"/>
      <c r="F237" s="18"/>
      <c r="H237" s="18"/>
    </row>
    <row r="238" customFormat="false" ht="15" hidden="false" customHeight="true" outlineLevel="0" collapsed="false">
      <c r="A238" s="17"/>
      <c r="F238" s="18"/>
      <c r="H238" s="18"/>
    </row>
    <row r="239" customFormat="false" ht="15" hidden="false" customHeight="true" outlineLevel="0" collapsed="false">
      <c r="A239" s="17"/>
      <c r="F239" s="18"/>
      <c r="H239" s="18"/>
    </row>
    <row r="240" customFormat="false" ht="15" hidden="false" customHeight="true" outlineLevel="0" collapsed="false">
      <c r="A240" s="17"/>
      <c r="F240" s="18"/>
      <c r="H240" s="18"/>
    </row>
    <row r="241" customFormat="false" ht="15" hidden="false" customHeight="true" outlineLevel="0" collapsed="false">
      <c r="A241" s="17"/>
      <c r="F241" s="18"/>
      <c r="H241" s="18"/>
    </row>
    <row r="242" customFormat="false" ht="15" hidden="false" customHeight="true" outlineLevel="0" collapsed="false">
      <c r="A242" s="17"/>
      <c r="F242" s="18"/>
      <c r="H242" s="18"/>
    </row>
    <row r="243" customFormat="false" ht="15" hidden="false" customHeight="true" outlineLevel="0" collapsed="false">
      <c r="A243" s="17"/>
      <c r="F243" s="18"/>
      <c r="H243" s="18"/>
    </row>
    <row r="244" customFormat="false" ht="15" hidden="false" customHeight="true" outlineLevel="0" collapsed="false">
      <c r="A244" s="17"/>
      <c r="F244" s="18"/>
      <c r="H244" s="18"/>
    </row>
    <row r="245" customFormat="false" ht="15" hidden="false" customHeight="true" outlineLevel="0" collapsed="false">
      <c r="A245" s="17"/>
      <c r="F245" s="18"/>
      <c r="H245" s="18"/>
    </row>
    <row r="246" customFormat="false" ht="15" hidden="false" customHeight="true" outlineLevel="0" collapsed="false">
      <c r="A246" s="17"/>
      <c r="F246" s="18"/>
      <c r="H246" s="18"/>
    </row>
    <row r="247" customFormat="false" ht="15" hidden="false" customHeight="true" outlineLevel="0" collapsed="false">
      <c r="A247" s="17"/>
      <c r="F247" s="18"/>
      <c r="H247" s="18"/>
    </row>
    <row r="248" customFormat="false" ht="15" hidden="false" customHeight="true" outlineLevel="0" collapsed="false">
      <c r="A248" s="17"/>
      <c r="F248" s="18"/>
      <c r="H248" s="18"/>
    </row>
    <row r="249" customFormat="false" ht="15" hidden="false" customHeight="true" outlineLevel="0" collapsed="false">
      <c r="A249" s="17"/>
      <c r="F249" s="18"/>
      <c r="H249" s="18"/>
    </row>
    <row r="250" customFormat="false" ht="15" hidden="false" customHeight="true" outlineLevel="0" collapsed="false">
      <c r="A250" s="17"/>
      <c r="F250" s="18"/>
      <c r="H250" s="18"/>
    </row>
    <row r="251" customFormat="false" ht="15" hidden="false" customHeight="true" outlineLevel="0" collapsed="false">
      <c r="A251" s="17"/>
      <c r="F251" s="18"/>
      <c r="H251" s="18"/>
    </row>
    <row r="252" customFormat="false" ht="15" hidden="false" customHeight="true" outlineLevel="0" collapsed="false">
      <c r="A252" s="17"/>
      <c r="F252" s="18"/>
      <c r="H252" s="18"/>
    </row>
    <row r="253" customFormat="false" ht="15" hidden="false" customHeight="true" outlineLevel="0" collapsed="false">
      <c r="A253" s="17"/>
      <c r="F253" s="18"/>
      <c r="H253" s="18"/>
    </row>
    <row r="254" customFormat="false" ht="15" hidden="false" customHeight="true" outlineLevel="0" collapsed="false">
      <c r="A254" s="17"/>
      <c r="F254" s="18"/>
      <c r="H254" s="18"/>
    </row>
    <row r="255" customFormat="false" ht="15" hidden="false" customHeight="true" outlineLevel="0" collapsed="false">
      <c r="A255" s="17"/>
      <c r="F255" s="18"/>
      <c r="H255" s="18"/>
    </row>
    <row r="256" customFormat="false" ht="15" hidden="false" customHeight="true" outlineLevel="0" collapsed="false">
      <c r="A256" s="17"/>
      <c r="F256" s="18"/>
      <c r="H256" s="18"/>
    </row>
    <row r="257" customFormat="false" ht="15" hidden="false" customHeight="true" outlineLevel="0" collapsed="false">
      <c r="A257" s="17"/>
      <c r="F257" s="18"/>
      <c r="H257" s="18"/>
    </row>
    <row r="258" customFormat="false" ht="15" hidden="false" customHeight="true" outlineLevel="0" collapsed="false">
      <c r="A258" s="17"/>
      <c r="F258" s="18"/>
      <c r="H258" s="18"/>
    </row>
    <row r="259" customFormat="false" ht="15" hidden="false" customHeight="true" outlineLevel="0" collapsed="false">
      <c r="A259" s="17"/>
      <c r="F259" s="18"/>
      <c r="H259" s="18"/>
    </row>
    <row r="260" customFormat="false" ht="15" hidden="false" customHeight="true" outlineLevel="0" collapsed="false">
      <c r="A260" s="17"/>
      <c r="F260" s="18"/>
      <c r="H260" s="18"/>
    </row>
    <row r="261" customFormat="false" ht="15" hidden="false" customHeight="true" outlineLevel="0" collapsed="false">
      <c r="A261" s="17"/>
      <c r="F261" s="18"/>
      <c r="H261" s="18"/>
    </row>
    <row r="262" customFormat="false" ht="15" hidden="false" customHeight="true" outlineLevel="0" collapsed="false">
      <c r="A262" s="17"/>
      <c r="F262" s="18"/>
      <c r="H262" s="18"/>
    </row>
    <row r="263" customFormat="false" ht="15" hidden="false" customHeight="true" outlineLevel="0" collapsed="false">
      <c r="A263" s="17"/>
      <c r="F263" s="18"/>
      <c r="H263" s="18"/>
    </row>
    <row r="264" customFormat="false" ht="15" hidden="false" customHeight="true" outlineLevel="0" collapsed="false">
      <c r="A264" s="17"/>
      <c r="F264" s="18"/>
      <c r="H264" s="18"/>
    </row>
    <row r="265" customFormat="false" ht="15" hidden="false" customHeight="true" outlineLevel="0" collapsed="false">
      <c r="A265" s="17"/>
      <c r="F265" s="18"/>
      <c r="H265" s="18"/>
    </row>
    <row r="266" customFormat="false" ht="15" hidden="false" customHeight="true" outlineLevel="0" collapsed="false">
      <c r="A266" s="17"/>
      <c r="F266" s="18"/>
      <c r="H266" s="18"/>
    </row>
    <row r="267" customFormat="false" ht="15" hidden="false" customHeight="true" outlineLevel="0" collapsed="false">
      <c r="A267" s="17"/>
      <c r="F267" s="18"/>
      <c r="H267" s="18"/>
    </row>
    <row r="268" customFormat="false" ht="15" hidden="false" customHeight="true" outlineLevel="0" collapsed="false">
      <c r="A268" s="17"/>
      <c r="F268" s="18"/>
      <c r="H268" s="18"/>
    </row>
    <row r="269" customFormat="false" ht="15" hidden="false" customHeight="true" outlineLevel="0" collapsed="false">
      <c r="A269" s="17"/>
      <c r="F269" s="18"/>
      <c r="H269" s="18"/>
    </row>
    <row r="270" customFormat="false" ht="15" hidden="false" customHeight="true" outlineLevel="0" collapsed="false">
      <c r="A270" s="17"/>
      <c r="F270" s="18"/>
      <c r="H270" s="18"/>
    </row>
    <row r="271" customFormat="false" ht="15" hidden="false" customHeight="true" outlineLevel="0" collapsed="false">
      <c r="A271" s="17"/>
      <c r="F271" s="18"/>
      <c r="H271" s="18"/>
    </row>
    <row r="272" customFormat="false" ht="15" hidden="false" customHeight="true" outlineLevel="0" collapsed="false">
      <c r="A272" s="17"/>
      <c r="F272" s="18"/>
      <c r="H272" s="18"/>
    </row>
    <row r="273" customFormat="false" ht="15" hidden="false" customHeight="true" outlineLevel="0" collapsed="false">
      <c r="A273" s="17"/>
      <c r="F273" s="18"/>
      <c r="H273" s="18"/>
    </row>
    <row r="274" customFormat="false" ht="15" hidden="false" customHeight="true" outlineLevel="0" collapsed="false">
      <c r="A274" s="17"/>
      <c r="F274" s="18"/>
      <c r="H274" s="18"/>
    </row>
    <row r="275" customFormat="false" ht="15" hidden="false" customHeight="true" outlineLevel="0" collapsed="false">
      <c r="A275" s="17"/>
      <c r="F275" s="18"/>
      <c r="H275" s="18"/>
    </row>
    <row r="276" customFormat="false" ht="15" hidden="false" customHeight="true" outlineLevel="0" collapsed="false">
      <c r="A276" s="17"/>
      <c r="F276" s="18"/>
      <c r="H276" s="18"/>
    </row>
    <row r="277" customFormat="false" ht="15" hidden="false" customHeight="true" outlineLevel="0" collapsed="false">
      <c r="A277" s="17"/>
      <c r="F277" s="18"/>
      <c r="H277" s="18"/>
    </row>
    <row r="278" customFormat="false" ht="15" hidden="false" customHeight="true" outlineLevel="0" collapsed="false">
      <c r="A278" s="17"/>
      <c r="F278" s="18"/>
      <c r="H278" s="18"/>
    </row>
    <row r="279" customFormat="false" ht="15" hidden="false" customHeight="true" outlineLevel="0" collapsed="false">
      <c r="A279" s="17"/>
      <c r="F279" s="18"/>
      <c r="H279" s="18"/>
    </row>
    <row r="280" customFormat="false" ht="15" hidden="false" customHeight="true" outlineLevel="0" collapsed="false">
      <c r="A280" s="17"/>
      <c r="F280" s="18"/>
      <c r="H280" s="18"/>
    </row>
    <row r="281" customFormat="false" ht="15" hidden="false" customHeight="true" outlineLevel="0" collapsed="false">
      <c r="A281" s="17"/>
      <c r="F281" s="18"/>
      <c r="H281" s="18"/>
    </row>
    <row r="282" customFormat="false" ht="15" hidden="false" customHeight="true" outlineLevel="0" collapsed="false">
      <c r="A282" s="17"/>
      <c r="F282" s="18"/>
      <c r="H282" s="18"/>
    </row>
    <row r="283" customFormat="false" ht="15" hidden="false" customHeight="true" outlineLevel="0" collapsed="false">
      <c r="A283" s="17"/>
      <c r="F283" s="18"/>
      <c r="H283" s="18"/>
    </row>
    <row r="284" customFormat="false" ht="15" hidden="false" customHeight="true" outlineLevel="0" collapsed="false">
      <c r="A284" s="17"/>
      <c r="F284" s="18"/>
      <c r="H284" s="18"/>
    </row>
    <row r="285" customFormat="false" ht="15" hidden="false" customHeight="true" outlineLevel="0" collapsed="false">
      <c r="A285" s="17"/>
      <c r="F285" s="18"/>
      <c r="H285" s="18"/>
    </row>
    <row r="286" customFormat="false" ht="15" hidden="false" customHeight="true" outlineLevel="0" collapsed="false">
      <c r="A286" s="17"/>
      <c r="F286" s="18"/>
      <c r="H286" s="18"/>
    </row>
    <row r="287" customFormat="false" ht="15" hidden="false" customHeight="true" outlineLevel="0" collapsed="false">
      <c r="A287" s="17"/>
      <c r="F287" s="18"/>
      <c r="H287" s="18"/>
    </row>
    <row r="288" customFormat="false" ht="15" hidden="false" customHeight="true" outlineLevel="0" collapsed="false">
      <c r="A288" s="17"/>
      <c r="F288" s="18"/>
      <c r="H288" s="18"/>
    </row>
    <row r="289" customFormat="false" ht="15" hidden="false" customHeight="true" outlineLevel="0" collapsed="false">
      <c r="A289" s="17"/>
      <c r="F289" s="18"/>
      <c r="H289" s="18"/>
    </row>
    <row r="290" customFormat="false" ht="15" hidden="false" customHeight="true" outlineLevel="0" collapsed="false">
      <c r="A290" s="17"/>
      <c r="F290" s="18"/>
      <c r="H290" s="18"/>
    </row>
    <row r="291" customFormat="false" ht="15" hidden="false" customHeight="true" outlineLevel="0" collapsed="false">
      <c r="A291" s="17"/>
      <c r="F291" s="18"/>
      <c r="H291" s="18"/>
    </row>
    <row r="292" customFormat="false" ht="15" hidden="false" customHeight="true" outlineLevel="0" collapsed="false">
      <c r="A292" s="17"/>
      <c r="F292" s="18"/>
      <c r="H292" s="18"/>
    </row>
    <row r="293" customFormat="false" ht="15" hidden="false" customHeight="true" outlineLevel="0" collapsed="false">
      <c r="A293" s="17"/>
      <c r="F293" s="18"/>
      <c r="H293" s="18"/>
    </row>
    <row r="294" customFormat="false" ht="15" hidden="false" customHeight="true" outlineLevel="0" collapsed="false">
      <c r="A294" s="17"/>
      <c r="F294" s="18"/>
      <c r="H294" s="18"/>
    </row>
    <row r="295" customFormat="false" ht="15" hidden="false" customHeight="true" outlineLevel="0" collapsed="false">
      <c r="A295" s="17"/>
      <c r="F295" s="18"/>
      <c r="H295" s="18"/>
    </row>
    <row r="296" customFormat="false" ht="15" hidden="false" customHeight="true" outlineLevel="0" collapsed="false">
      <c r="A296" s="17"/>
      <c r="F296" s="18"/>
      <c r="H296" s="18"/>
    </row>
    <row r="297" customFormat="false" ht="15" hidden="false" customHeight="true" outlineLevel="0" collapsed="false">
      <c r="A297" s="17"/>
      <c r="F297" s="18"/>
      <c r="H297" s="18"/>
    </row>
    <row r="298" customFormat="false" ht="15" hidden="false" customHeight="true" outlineLevel="0" collapsed="false">
      <c r="A298" s="17"/>
      <c r="F298" s="18"/>
      <c r="H298" s="18"/>
    </row>
    <row r="299" customFormat="false" ht="15" hidden="false" customHeight="true" outlineLevel="0" collapsed="false">
      <c r="A299" s="17"/>
      <c r="F299" s="18"/>
      <c r="H299" s="18"/>
    </row>
    <row r="300" customFormat="false" ht="53.25" hidden="false" customHeight="true" outlineLevel="0" collapsed="false">
      <c r="B300" s="19" t="s">
        <v>32</v>
      </c>
    </row>
  </sheetData>
  <dataValidations count="3">
    <dataValidation allowBlank="true" errorStyle="stop" operator="between" showDropDown="false" showErrorMessage="false" showInputMessage="false" sqref="D2:D300" type="list">
      <formula1>"Materiales y Suministros,Herramientas y Equipo,Mercadeo y Publicidad,Transporte y Millaje,Servicios Profesionales (contable/legal),Renta y Utilidades,Empaque y Envío,Comisiones de Plataforma (Shopify/Etsy/pasarela de pago),Seguros,Misceláneos"</formula1>
      <formula2>0</formula2>
    </dataValidation>
    <dataValidation allowBlank="true" errorStyle="stop" operator="between" showDropDown="false" showErrorMessage="false" showInputMessage="false" sqref="E2:E300" type="list">
      <formula1>"Efectivo,ATH Móvil,Transferencia,Tarjeta,Shopify/Plataforma,Cheque"</formula1>
      <formula2>0</formula2>
    </dataValidation>
    <dataValidation allowBlank="true" errorStyle="stop" operator="between" showDropDown="false" showErrorMessage="false" showInputMessage="false" sqref="G2:G300" type="list">
      <formula1>"Sí,No,Revisar con CPA"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4"/>
    <col collapsed="false" customWidth="true" hidden="false" outlineLevel="0" max="4" min="2" style="1" width="18"/>
    <col collapsed="false" customWidth="true" hidden="true" outlineLevel="0" max="7" min="6" style="1" width="12"/>
  </cols>
  <sheetData>
    <row r="1" customFormat="false" ht="17.25" hidden="false" customHeight="true" outlineLevel="0" collapsed="false">
      <c r="A1" s="20" t="s">
        <v>33</v>
      </c>
    </row>
    <row r="2" customFormat="false" ht="15" hidden="false" customHeight="true" outlineLevel="0" collapsed="false">
      <c r="A2" s="21" t="s">
        <v>34</v>
      </c>
      <c r="B2" s="22" t="n">
        <v>2026</v>
      </c>
    </row>
    <row r="4" customFormat="false" ht="15" hidden="false" customHeight="true" outlineLevel="0" collapsed="false">
      <c r="A4" s="13" t="s">
        <v>35</v>
      </c>
      <c r="B4" s="13" t="s">
        <v>36</v>
      </c>
      <c r="C4" s="13" t="s">
        <v>37</v>
      </c>
      <c r="D4" s="13" t="s">
        <v>38</v>
      </c>
      <c r="F4" s="1" t="s">
        <v>39</v>
      </c>
      <c r="G4" s="1" t="s">
        <v>40</v>
      </c>
    </row>
    <row r="5" customFormat="false" ht="15" hidden="false" customHeight="true" outlineLevel="0" collapsed="false">
      <c r="A5" s="23" t="s">
        <v>41</v>
      </c>
      <c r="B5" s="18" t="n">
        <f aca="false">SUMIFS(Ingresos!$G:$G,Ingresos!$A:$A,"&gt;="&amp;F5,Ingresos!$A:$A,"&lt;="&amp;G5)</f>
        <v>0</v>
      </c>
      <c r="C5" s="18" t="n">
        <f aca="false">SUMIFS(Gastos!$F:$F,Gastos!$A:$A,"&gt;="&amp;F5,Gastos!$A:$A,"&lt;="&amp;G5)</f>
        <v>0</v>
      </c>
      <c r="D5" s="18" t="n">
        <f aca="false">B5-C5</f>
        <v>0</v>
      </c>
      <c r="F5" s="24" t="n">
        <f aca="false">DATE($B$2,1,1)</f>
        <v>46023</v>
      </c>
      <c r="G5" s="1" t="n">
        <f aca="false">EOMONTH(F5,0)</f>
        <v>46053</v>
      </c>
    </row>
    <row r="6" customFormat="false" ht="15" hidden="false" customHeight="true" outlineLevel="0" collapsed="false">
      <c r="A6" s="23" t="s">
        <v>42</v>
      </c>
      <c r="B6" s="18" t="n">
        <f aca="false">SUMIFS(Ingresos!$G:$G,Ingresos!$A:$A,"&gt;="&amp;F6,Ingresos!$A:$A,"&lt;="&amp;G6)</f>
        <v>0</v>
      </c>
      <c r="C6" s="18" t="n">
        <f aca="false">SUMIFS(Gastos!$F:$F,Gastos!$A:$A,"&gt;="&amp;F6,Gastos!$A:$A,"&lt;="&amp;G6)</f>
        <v>0</v>
      </c>
      <c r="D6" s="18" t="n">
        <f aca="false">B6-C6</f>
        <v>0</v>
      </c>
      <c r="F6" s="24" t="n">
        <f aca="false">DATE($B$2,2,1)</f>
        <v>46054</v>
      </c>
      <c r="G6" s="1" t="n">
        <f aca="false">EOMONTH(F6,0)</f>
        <v>46081</v>
      </c>
    </row>
    <row r="7" customFormat="false" ht="15" hidden="false" customHeight="true" outlineLevel="0" collapsed="false">
      <c r="A7" s="23" t="s">
        <v>43</v>
      </c>
      <c r="B7" s="18" t="n">
        <f aca="false">SUMIFS(Ingresos!$G:$G,Ingresos!$A:$A,"&gt;="&amp;F7,Ingresos!$A:$A,"&lt;="&amp;G7)</f>
        <v>0</v>
      </c>
      <c r="C7" s="18" t="n">
        <f aca="false">SUMIFS(Gastos!$F:$F,Gastos!$A:$A,"&gt;="&amp;F7,Gastos!$A:$A,"&lt;="&amp;G7)</f>
        <v>0</v>
      </c>
      <c r="D7" s="18" t="n">
        <f aca="false">B7-C7</f>
        <v>0</v>
      </c>
      <c r="F7" s="24" t="n">
        <f aca="false">DATE($B$2,3,1)</f>
        <v>46082</v>
      </c>
      <c r="G7" s="1" t="n">
        <f aca="false">EOMONTH(F7,0)</f>
        <v>46112</v>
      </c>
    </row>
    <row r="8" customFormat="false" ht="15" hidden="false" customHeight="true" outlineLevel="0" collapsed="false">
      <c r="A8" s="23" t="s">
        <v>44</v>
      </c>
      <c r="B8" s="18" t="n">
        <f aca="false">SUMIFS(Ingresos!$G:$G,Ingresos!$A:$A,"&gt;="&amp;F8,Ingresos!$A:$A,"&lt;="&amp;G8)</f>
        <v>0</v>
      </c>
      <c r="C8" s="18" t="n">
        <f aca="false">SUMIFS(Gastos!$F:$F,Gastos!$A:$A,"&gt;="&amp;F8,Gastos!$A:$A,"&lt;="&amp;G8)</f>
        <v>0</v>
      </c>
      <c r="D8" s="18" t="n">
        <f aca="false">B8-C8</f>
        <v>0</v>
      </c>
      <c r="F8" s="24" t="n">
        <f aca="false">DATE($B$2,4,1)</f>
        <v>46113</v>
      </c>
      <c r="G8" s="1" t="n">
        <f aca="false">EOMONTH(F8,0)</f>
        <v>46142</v>
      </c>
    </row>
    <row r="9" customFormat="false" ht="15" hidden="false" customHeight="true" outlineLevel="0" collapsed="false">
      <c r="A9" s="23" t="s">
        <v>45</v>
      </c>
      <c r="B9" s="18" t="n">
        <f aca="false">SUMIFS(Ingresos!$G:$G,Ingresos!$A:$A,"&gt;="&amp;F9,Ingresos!$A:$A,"&lt;="&amp;G9)</f>
        <v>0</v>
      </c>
      <c r="C9" s="18" t="n">
        <f aca="false">SUMIFS(Gastos!$F:$F,Gastos!$A:$A,"&gt;="&amp;F9,Gastos!$A:$A,"&lt;="&amp;G9)</f>
        <v>0</v>
      </c>
      <c r="D9" s="18" t="n">
        <f aca="false">B9-C9</f>
        <v>0</v>
      </c>
      <c r="F9" s="24" t="n">
        <f aca="false">DATE($B$2,5,1)</f>
        <v>46143</v>
      </c>
      <c r="G9" s="1" t="n">
        <f aca="false">EOMONTH(F9,0)</f>
        <v>46173</v>
      </c>
    </row>
    <row r="10" customFormat="false" ht="15" hidden="false" customHeight="true" outlineLevel="0" collapsed="false">
      <c r="A10" s="23" t="s">
        <v>46</v>
      </c>
      <c r="B10" s="18" t="n">
        <f aca="false">SUMIFS(Ingresos!$G:$G,Ingresos!$A:$A,"&gt;="&amp;F10,Ingresos!$A:$A,"&lt;="&amp;G10)</f>
        <v>0</v>
      </c>
      <c r="C10" s="18" t="n">
        <f aca="false">SUMIFS(Gastos!$F:$F,Gastos!$A:$A,"&gt;="&amp;F10,Gastos!$A:$A,"&lt;="&amp;G10)</f>
        <v>0</v>
      </c>
      <c r="D10" s="18" t="n">
        <f aca="false">B10-C10</f>
        <v>0</v>
      </c>
      <c r="F10" s="24" t="n">
        <f aca="false">DATE($B$2,6,1)</f>
        <v>46174</v>
      </c>
      <c r="G10" s="1" t="n">
        <f aca="false">EOMONTH(F10,0)</f>
        <v>46203</v>
      </c>
    </row>
    <row r="11" customFormat="false" ht="15" hidden="false" customHeight="true" outlineLevel="0" collapsed="false">
      <c r="A11" s="23" t="s">
        <v>47</v>
      </c>
      <c r="B11" s="18" t="n">
        <f aca="false">SUMIFS(Ingresos!$G:$G,Ingresos!$A:$A,"&gt;="&amp;F11,Ingresos!$A:$A,"&lt;="&amp;G11)</f>
        <v>0</v>
      </c>
      <c r="C11" s="18" t="n">
        <f aca="false">SUMIFS(Gastos!$F:$F,Gastos!$A:$A,"&gt;="&amp;F11,Gastos!$A:$A,"&lt;="&amp;G11)</f>
        <v>0</v>
      </c>
      <c r="D11" s="18" t="n">
        <f aca="false">B11-C11</f>
        <v>0</v>
      </c>
      <c r="F11" s="24" t="n">
        <f aca="false">DATE($B$2,7,1)</f>
        <v>46204</v>
      </c>
      <c r="G11" s="1" t="n">
        <f aca="false">EOMONTH(F11,0)</f>
        <v>46234</v>
      </c>
    </row>
    <row r="12" customFormat="false" ht="15" hidden="false" customHeight="true" outlineLevel="0" collapsed="false">
      <c r="A12" s="23" t="s">
        <v>48</v>
      </c>
      <c r="B12" s="18" t="n">
        <f aca="false">SUMIFS(Ingresos!$G:$G,Ingresos!$A:$A,"&gt;="&amp;F12,Ingresos!$A:$A,"&lt;="&amp;G12)</f>
        <v>0</v>
      </c>
      <c r="C12" s="18" t="n">
        <f aca="false">SUMIFS(Gastos!$F:$F,Gastos!$A:$A,"&gt;="&amp;F12,Gastos!$A:$A,"&lt;="&amp;G12)</f>
        <v>0</v>
      </c>
      <c r="D12" s="18" t="n">
        <f aca="false">B12-C12</f>
        <v>0</v>
      </c>
      <c r="F12" s="24" t="n">
        <f aca="false">DATE($B$2,8,1)</f>
        <v>46235</v>
      </c>
      <c r="G12" s="1" t="n">
        <f aca="false">EOMONTH(F12,0)</f>
        <v>46265</v>
      </c>
    </row>
    <row r="13" customFormat="false" ht="15" hidden="false" customHeight="true" outlineLevel="0" collapsed="false">
      <c r="A13" s="23" t="s">
        <v>49</v>
      </c>
      <c r="B13" s="18" t="n">
        <f aca="false">SUMIFS(Ingresos!$G:$G,Ingresos!$A:$A,"&gt;="&amp;F13,Ingresos!$A:$A,"&lt;="&amp;G13)</f>
        <v>0</v>
      </c>
      <c r="C13" s="18" t="n">
        <f aca="false">SUMIFS(Gastos!$F:$F,Gastos!$A:$A,"&gt;="&amp;F13,Gastos!$A:$A,"&lt;="&amp;G13)</f>
        <v>0</v>
      </c>
      <c r="D13" s="18" t="n">
        <f aca="false">B13-C13</f>
        <v>0</v>
      </c>
      <c r="F13" s="24" t="n">
        <f aca="false">DATE($B$2,9,1)</f>
        <v>46266</v>
      </c>
      <c r="G13" s="1" t="n">
        <f aca="false">EOMONTH(F13,0)</f>
        <v>46295</v>
      </c>
    </row>
    <row r="14" customFormat="false" ht="15" hidden="false" customHeight="true" outlineLevel="0" collapsed="false">
      <c r="A14" s="23" t="s">
        <v>50</v>
      </c>
      <c r="B14" s="18" t="n">
        <f aca="false">SUMIFS(Ingresos!$G:$G,Ingresos!$A:$A,"&gt;="&amp;F14,Ingresos!$A:$A,"&lt;="&amp;G14)</f>
        <v>0</v>
      </c>
      <c r="C14" s="18" t="n">
        <f aca="false">SUMIFS(Gastos!$F:$F,Gastos!$A:$A,"&gt;="&amp;F14,Gastos!$A:$A,"&lt;="&amp;G14)</f>
        <v>0</v>
      </c>
      <c r="D14" s="18" t="n">
        <f aca="false">B14-C14</f>
        <v>0</v>
      </c>
      <c r="F14" s="24" t="n">
        <f aca="false">DATE($B$2,10,1)</f>
        <v>46296</v>
      </c>
      <c r="G14" s="1" t="n">
        <f aca="false">EOMONTH(F14,0)</f>
        <v>46326</v>
      </c>
    </row>
    <row r="15" customFormat="false" ht="15" hidden="false" customHeight="true" outlineLevel="0" collapsed="false">
      <c r="A15" s="23" t="s">
        <v>51</v>
      </c>
      <c r="B15" s="18" t="n">
        <f aca="false">SUMIFS(Ingresos!$G:$G,Ingresos!$A:$A,"&gt;="&amp;F15,Ingresos!$A:$A,"&lt;="&amp;G15)</f>
        <v>0</v>
      </c>
      <c r="C15" s="18" t="n">
        <f aca="false">SUMIFS(Gastos!$F:$F,Gastos!$A:$A,"&gt;="&amp;F15,Gastos!$A:$A,"&lt;="&amp;G15)</f>
        <v>0</v>
      </c>
      <c r="D15" s="18" t="n">
        <f aca="false">B15-C15</f>
        <v>0</v>
      </c>
      <c r="F15" s="24" t="n">
        <f aca="false">DATE($B$2,11,1)</f>
        <v>46327</v>
      </c>
      <c r="G15" s="1" t="n">
        <f aca="false">EOMONTH(F15,0)</f>
        <v>46356</v>
      </c>
    </row>
    <row r="16" customFormat="false" ht="15" hidden="false" customHeight="true" outlineLevel="0" collapsed="false">
      <c r="A16" s="23" t="s">
        <v>52</v>
      </c>
      <c r="B16" s="18" t="n">
        <f aca="false">SUMIFS(Ingresos!$G:$G,Ingresos!$A:$A,"&gt;="&amp;F16,Ingresos!$A:$A,"&lt;="&amp;G16)</f>
        <v>0</v>
      </c>
      <c r="C16" s="18" t="n">
        <f aca="false">SUMIFS(Gastos!$F:$F,Gastos!$A:$A,"&gt;="&amp;F16,Gastos!$A:$A,"&lt;="&amp;G16)</f>
        <v>0</v>
      </c>
      <c r="D16" s="18" t="n">
        <f aca="false">B16-C16</f>
        <v>0</v>
      </c>
      <c r="F16" s="24" t="n">
        <f aca="false">DATE($B$2,12,1)</f>
        <v>46357</v>
      </c>
      <c r="G16" s="1" t="n">
        <f aca="false">EOMONTH(F16,0)</f>
        <v>46387</v>
      </c>
    </row>
    <row r="17" customFormat="false" ht="15" hidden="false" customHeight="true" outlineLevel="0" collapsed="false">
      <c r="A17" s="21" t="s">
        <v>53</v>
      </c>
      <c r="B17" s="25" t="n">
        <f aca="false">SUM(B5:B16)</f>
        <v>0</v>
      </c>
      <c r="C17" s="25" t="n">
        <f aca="false">SUM(C5:C16)</f>
        <v>0</v>
      </c>
      <c r="D17" s="25" t="n">
        <f aca="false">SUM(D5:D16)</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4"/>
    <col collapsed="false" customWidth="true" hidden="false" outlineLevel="0" max="6" min="2" style="1" width="20"/>
    <col collapsed="false" customWidth="true" hidden="true" outlineLevel="0" max="9" min="8" style="1" width="13"/>
  </cols>
  <sheetData>
    <row r="1" customFormat="false" ht="17.25" hidden="false" customHeight="true" outlineLevel="0" collapsed="false">
      <c r="A1" s="20" t="s">
        <v>54</v>
      </c>
    </row>
    <row r="2" customFormat="false" ht="30" hidden="false" customHeight="true" outlineLevel="0" collapsed="false">
      <c r="A2" s="4" t="s">
        <v>55</v>
      </c>
    </row>
    <row r="4" customFormat="false" ht="15" hidden="false" customHeight="true" outlineLevel="0" collapsed="false">
      <c r="A4" s="21" t="s">
        <v>34</v>
      </c>
      <c r="B4" s="22" t="n">
        <v>2026</v>
      </c>
    </row>
    <row r="6" customFormat="false" ht="26.25" hidden="false" customHeight="true" outlineLevel="0" collapsed="false">
      <c r="A6" s="13" t="s">
        <v>35</v>
      </c>
      <c r="B6" s="13" t="s">
        <v>56</v>
      </c>
      <c r="C6" s="13" t="s">
        <v>57</v>
      </c>
      <c r="D6" s="13" t="s">
        <v>58</v>
      </c>
      <c r="E6" s="13" t="s">
        <v>59</v>
      </c>
      <c r="F6" s="13" t="s">
        <v>60</v>
      </c>
      <c r="H6" s="1" t="s">
        <v>39</v>
      </c>
      <c r="I6" s="1" t="s">
        <v>40</v>
      </c>
    </row>
    <row r="7" customFormat="false" ht="15" hidden="false" customHeight="true" outlineLevel="0" collapsed="false">
      <c r="A7" s="1" t="s">
        <v>41</v>
      </c>
      <c r="B7" s="18" t="n">
        <f aca="false">SUMIFS(Ingresos!$G:$G,Ingresos!$F:$F,"Sí",Ingresos!$A:$A,"&gt;="&amp;H7,Ingresos!$A:$A,"&lt;="&amp;I7)</f>
        <v>0</v>
      </c>
      <c r="C7" s="18" t="n">
        <f aca="false">SUMIFS(Ingresos!$G:$G,Ingresos!$F:$F,"No",Ingresos!$A:$A,"&gt;="&amp;H7,Ingresos!$A:$A,"&lt;="&amp;I7)</f>
        <v>0</v>
      </c>
      <c r="D7" s="18" t="n">
        <f aca="false">SUMIFS(Ingresos!$H:$H,Ingresos!$A:$A,"&gt;="&amp;H7,Ingresos!$A:$A,"&lt;="&amp;I7)</f>
        <v>0</v>
      </c>
      <c r="E7" s="18" t="n">
        <f aca="false">SUMIFS(Gastos!$H:$H,Gastos!$A:$A,"&gt;="&amp;H7,Gastos!$A:$A,"&lt;="&amp;I7)</f>
        <v>0</v>
      </c>
      <c r="F7" s="18" t="n">
        <f aca="false">D7-E7</f>
        <v>0</v>
      </c>
      <c r="H7" s="24" t="n">
        <f aca="false">DATE($B$4,1,1)</f>
        <v>46023</v>
      </c>
      <c r="I7" s="1" t="n">
        <f aca="false">EOMONTH(H7,0)</f>
        <v>46053</v>
      </c>
    </row>
    <row r="8" customFormat="false" ht="15" hidden="false" customHeight="true" outlineLevel="0" collapsed="false">
      <c r="A8" s="1" t="s">
        <v>42</v>
      </c>
      <c r="B8" s="18" t="n">
        <f aca="false">SUMIFS(Ingresos!$G:$G,Ingresos!$F:$F,"Sí",Ingresos!$A:$A,"&gt;="&amp;H8,Ingresos!$A:$A,"&lt;="&amp;I8)</f>
        <v>0</v>
      </c>
      <c r="C8" s="18" t="n">
        <f aca="false">SUMIFS(Ingresos!$G:$G,Ingresos!$F:$F,"No",Ingresos!$A:$A,"&gt;="&amp;H8,Ingresos!$A:$A,"&lt;="&amp;I8)</f>
        <v>0</v>
      </c>
      <c r="D8" s="18" t="n">
        <f aca="false">SUMIFS(Ingresos!$H:$H,Ingresos!$A:$A,"&gt;="&amp;H8,Ingresos!$A:$A,"&lt;="&amp;I8)</f>
        <v>0</v>
      </c>
      <c r="E8" s="18" t="n">
        <f aca="false">SUMIFS(Gastos!$H:$H,Gastos!$A:$A,"&gt;="&amp;H8,Gastos!$A:$A,"&lt;="&amp;I8)</f>
        <v>0</v>
      </c>
      <c r="F8" s="18" t="n">
        <f aca="false">D8-E8</f>
        <v>0</v>
      </c>
      <c r="H8" s="24" t="n">
        <f aca="false">DATE($B$4,2,1)</f>
        <v>46054</v>
      </c>
      <c r="I8" s="1" t="n">
        <f aca="false">EOMONTH(H8,0)</f>
        <v>46081</v>
      </c>
    </row>
    <row r="9" customFormat="false" ht="15" hidden="false" customHeight="true" outlineLevel="0" collapsed="false">
      <c r="A9" s="1" t="s">
        <v>43</v>
      </c>
      <c r="B9" s="18" t="n">
        <f aca="false">SUMIFS(Ingresos!$G:$G,Ingresos!$F:$F,"Sí",Ingresos!$A:$A,"&gt;="&amp;H9,Ingresos!$A:$A,"&lt;="&amp;I9)</f>
        <v>0</v>
      </c>
      <c r="C9" s="18" t="n">
        <f aca="false">SUMIFS(Ingresos!$G:$G,Ingresos!$F:$F,"No",Ingresos!$A:$A,"&gt;="&amp;H9,Ingresos!$A:$A,"&lt;="&amp;I9)</f>
        <v>0</v>
      </c>
      <c r="D9" s="18" t="n">
        <f aca="false">SUMIFS(Ingresos!$H:$H,Ingresos!$A:$A,"&gt;="&amp;H9,Ingresos!$A:$A,"&lt;="&amp;I9)</f>
        <v>0</v>
      </c>
      <c r="E9" s="18" t="n">
        <f aca="false">SUMIFS(Gastos!$H:$H,Gastos!$A:$A,"&gt;="&amp;H9,Gastos!$A:$A,"&lt;="&amp;I9)</f>
        <v>0</v>
      </c>
      <c r="F9" s="18" t="n">
        <f aca="false">D9-E9</f>
        <v>0</v>
      </c>
      <c r="H9" s="24" t="n">
        <f aca="false">DATE($B$4,3,1)</f>
        <v>46082</v>
      </c>
      <c r="I9" s="1" t="n">
        <f aca="false">EOMONTH(H9,0)</f>
        <v>46112</v>
      </c>
    </row>
    <row r="10" customFormat="false" ht="15" hidden="false" customHeight="true" outlineLevel="0" collapsed="false">
      <c r="A10" s="1" t="s">
        <v>44</v>
      </c>
      <c r="B10" s="18" t="n">
        <f aca="false">SUMIFS(Ingresos!$G:$G,Ingresos!$F:$F,"Sí",Ingresos!$A:$A,"&gt;="&amp;H10,Ingresos!$A:$A,"&lt;="&amp;I10)</f>
        <v>0</v>
      </c>
      <c r="C10" s="18" t="n">
        <f aca="false">SUMIFS(Ingresos!$G:$G,Ingresos!$F:$F,"No",Ingresos!$A:$A,"&gt;="&amp;H10,Ingresos!$A:$A,"&lt;="&amp;I10)</f>
        <v>0</v>
      </c>
      <c r="D10" s="18" t="n">
        <f aca="false">SUMIFS(Ingresos!$H:$H,Ingresos!$A:$A,"&gt;="&amp;H10,Ingresos!$A:$A,"&lt;="&amp;I10)</f>
        <v>0</v>
      </c>
      <c r="E10" s="18" t="n">
        <f aca="false">SUMIFS(Gastos!$H:$H,Gastos!$A:$A,"&gt;="&amp;H10,Gastos!$A:$A,"&lt;="&amp;I10)</f>
        <v>0</v>
      </c>
      <c r="F10" s="18" t="n">
        <f aca="false">D10-E10</f>
        <v>0</v>
      </c>
      <c r="H10" s="24" t="n">
        <f aca="false">DATE($B$4,4,1)</f>
        <v>46113</v>
      </c>
      <c r="I10" s="1" t="n">
        <f aca="false">EOMONTH(H10,0)</f>
        <v>46142</v>
      </c>
    </row>
    <row r="11" customFormat="false" ht="15" hidden="false" customHeight="true" outlineLevel="0" collapsed="false">
      <c r="A11" s="1" t="s">
        <v>45</v>
      </c>
      <c r="B11" s="18" t="n">
        <f aca="false">SUMIFS(Ingresos!$G:$G,Ingresos!$F:$F,"Sí",Ingresos!$A:$A,"&gt;="&amp;H11,Ingresos!$A:$A,"&lt;="&amp;I11)</f>
        <v>0</v>
      </c>
      <c r="C11" s="18" t="n">
        <f aca="false">SUMIFS(Ingresos!$G:$G,Ingresos!$F:$F,"No",Ingresos!$A:$A,"&gt;="&amp;H11,Ingresos!$A:$A,"&lt;="&amp;I11)</f>
        <v>0</v>
      </c>
      <c r="D11" s="18" t="n">
        <f aca="false">SUMIFS(Ingresos!$H:$H,Ingresos!$A:$A,"&gt;="&amp;H11,Ingresos!$A:$A,"&lt;="&amp;I11)</f>
        <v>0</v>
      </c>
      <c r="E11" s="18" t="n">
        <f aca="false">SUMIFS(Gastos!$H:$H,Gastos!$A:$A,"&gt;="&amp;H11,Gastos!$A:$A,"&lt;="&amp;I11)</f>
        <v>0</v>
      </c>
      <c r="F11" s="18" t="n">
        <f aca="false">D11-E11</f>
        <v>0</v>
      </c>
      <c r="H11" s="24" t="n">
        <f aca="false">DATE($B$4,5,1)</f>
        <v>46143</v>
      </c>
      <c r="I11" s="1" t="n">
        <f aca="false">EOMONTH(H11,0)</f>
        <v>46173</v>
      </c>
    </row>
    <row r="12" customFormat="false" ht="15" hidden="false" customHeight="true" outlineLevel="0" collapsed="false">
      <c r="A12" s="1" t="s">
        <v>46</v>
      </c>
      <c r="B12" s="18" t="n">
        <f aca="false">SUMIFS(Ingresos!$G:$G,Ingresos!$F:$F,"Sí",Ingresos!$A:$A,"&gt;="&amp;H12,Ingresos!$A:$A,"&lt;="&amp;I12)</f>
        <v>0</v>
      </c>
      <c r="C12" s="18" t="n">
        <f aca="false">SUMIFS(Ingresos!$G:$G,Ingresos!$F:$F,"No",Ingresos!$A:$A,"&gt;="&amp;H12,Ingresos!$A:$A,"&lt;="&amp;I12)</f>
        <v>0</v>
      </c>
      <c r="D12" s="18" t="n">
        <f aca="false">SUMIFS(Ingresos!$H:$H,Ingresos!$A:$A,"&gt;="&amp;H12,Ingresos!$A:$A,"&lt;="&amp;I12)</f>
        <v>0</v>
      </c>
      <c r="E12" s="18" t="n">
        <f aca="false">SUMIFS(Gastos!$H:$H,Gastos!$A:$A,"&gt;="&amp;H12,Gastos!$A:$A,"&lt;="&amp;I12)</f>
        <v>0</v>
      </c>
      <c r="F12" s="18" t="n">
        <f aca="false">D12-E12</f>
        <v>0</v>
      </c>
      <c r="H12" s="24" t="n">
        <f aca="false">DATE($B$4,6,1)</f>
        <v>46174</v>
      </c>
      <c r="I12" s="1" t="n">
        <f aca="false">EOMONTH(H12,0)</f>
        <v>46203</v>
      </c>
    </row>
    <row r="13" customFormat="false" ht="15" hidden="false" customHeight="true" outlineLevel="0" collapsed="false">
      <c r="A13" s="1" t="s">
        <v>47</v>
      </c>
      <c r="B13" s="18" t="n">
        <f aca="false">SUMIFS(Ingresos!$G:$G,Ingresos!$F:$F,"Sí",Ingresos!$A:$A,"&gt;="&amp;H13,Ingresos!$A:$A,"&lt;="&amp;I13)</f>
        <v>0</v>
      </c>
      <c r="C13" s="18" t="n">
        <f aca="false">SUMIFS(Ingresos!$G:$G,Ingresos!$F:$F,"No",Ingresos!$A:$A,"&gt;="&amp;H13,Ingresos!$A:$A,"&lt;="&amp;I13)</f>
        <v>0</v>
      </c>
      <c r="D13" s="18" t="n">
        <f aca="false">SUMIFS(Ingresos!$H:$H,Ingresos!$A:$A,"&gt;="&amp;H13,Ingresos!$A:$A,"&lt;="&amp;I13)</f>
        <v>0</v>
      </c>
      <c r="E13" s="18" t="n">
        <f aca="false">SUMIFS(Gastos!$H:$H,Gastos!$A:$A,"&gt;="&amp;H13,Gastos!$A:$A,"&lt;="&amp;I13)</f>
        <v>0</v>
      </c>
      <c r="F13" s="18" t="n">
        <f aca="false">D13-E13</f>
        <v>0</v>
      </c>
      <c r="H13" s="24" t="n">
        <f aca="false">DATE($B$4,7,1)</f>
        <v>46204</v>
      </c>
      <c r="I13" s="1" t="n">
        <f aca="false">EOMONTH(H13,0)</f>
        <v>46234</v>
      </c>
    </row>
    <row r="14" customFormat="false" ht="15" hidden="false" customHeight="true" outlineLevel="0" collapsed="false">
      <c r="A14" s="1" t="s">
        <v>48</v>
      </c>
      <c r="B14" s="18" t="n">
        <f aca="false">SUMIFS(Ingresos!$G:$G,Ingresos!$F:$F,"Sí",Ingresos!$A:$A,"&gt;="&amp;H14,Ingresos!$A:$A,"&lt;="&amp;I14)</f>
        <v>0</v>
      </c>
      <c r="C14" s="18" t="n">
        <f aca="false">SUMIFS(Ingresos!$G:$G,Ingresos!$F:$F,"No",Ingresos!$A:$A,"&gt;="&amp;H14,Ingresos!$A:$A,"&lt;="&amp;I14)</f>
        <v>0</v>
      </c>
      <c r="D14" s="18" t="n">
        <f aca="false">SUMIFS(Ingresos!$H:$H,Ingresos!$A:$A,"&gt;="&amp;H14,Ingresos!$A:$A,"&lt;="&amp;I14)</f>
        <v>0</v>
      </c>
      <c r="E14" s="18" t="n">
        <f aca="false">SUMIFS(Gastos!$H:$H,Gastos!$A:$A,"&gt;="&amp;H14,Gastos!$A:$A,"&lt;="&amp;I14)</f>
        <v>0</v>
      </c>
      <c r="F14" s="18" t="n">
        <f aca="false">D14-E14</f>
        <v>0</v>
      </c>
      <c r="H14" s="24" t="n">
        <f aca="false">DATE($B$4,8,1)</f>
        <v>46235</v>
      </c>
      <c r="I14" s="1" t="n">
        <f aca="false">EOMONTH(H14,0)</f>
        <v>46265</v>
      </c>
    </row>
    <row r="15" customFormat="false" ht="15" hidden="false" customHeight="true" outlineLevel="0" collapsed="false">
      <c r="A15" s="1" t="s">
        <v>49</v>
      </c>
      <c r="B15" s="18" t="n">
        <f aca="false">SUMIFS(Ingresos!$G:$G,Ingresos!$F:$F,"Sí",Ingresos!$A:$A,"&gt;="&amp;H15,Ingresos!$A:$A,"&lt;="&amp;I15)</f>
        <v>0</v>
      </c>
      <c r="C15" s="18" t="n">
        <f aca="false">SUMIFS(Ingresos!$G:$G,Ingresos!$F:$F,"No",Ingresos!$A:$A,"&gt;="&amp;H15,Ingresos!$A:$A,"&lt;="&amp;I15)</f>
        <v>0</v>
      </c>
      <c r="D15" s="18" t="n">
        <f aca="false">SUMIFS(Ingresos!$H:$H,Ingresos!$A:$A,"&gt;="&amp;H15,Ingresos!$A:$A,"&lt;="&amp;I15)</f>
        <v>0</v>
      </c>
      <c r="E15" s="18" t="n">
        <f aca="false">SUMIFS(Gastos!$H:$H,Gastos!$A:$A,"&gt;="&amp;H15,Gastos!$A:$A,"&lt;="&amp;I15)</f>
        <v>0</v>
      </c>
      <c r="F15" s="18" t="n">
        <f aca="false">D15-E15</f>
        <v>0</v>
      </c>
      <c r="H15" s="24" t="n">
        <f aca="false">DATE($B$4,9,1)</f>
        <v>46266</v>
      </c>
      <c r="I15" s="1" t="n">
        <f aca="false">EOMONTH(H15,0)</f>
        <v>46295</v>
      </c>
    </row>
    <row r="16" customFormat="false" ht="15" hidden="false" customHeight="true" outlineLevel="0" collapsed="false">
      <c r="A16" s="1" t="s">
        <v>50</v>
      </c>
      <c r="B16" s="18" t="n">
        <f aca="false">SUMIFS(Ingresos!$G:$G,Ingresos!$F:$F,"Sí",Ingresos!$A:$A,"&gt;="&amp;H16,Ingresos!$A:$A,"&lt;="&amp;I16)</f>
        <v>0</v>
      </c>
      <c r="C16" s="18" t="n">
        <f aca="false">SUMIFS(Ingresos!$G:$G,Ingresos!$F:$F,"No",Ingresos!$A:$A,"&gt;="&amp;H16,Ingresos!$A:$A,"&lt;="&amp;I16)</f>
        <v>0</v>
      </c>
      <c r="D16" s="18" t="n">
        <f aca="false">SUMIFS(Ingresos!$H:$H,Ingresos!$A:$A,"&gt;="&amp;H16,Ingresos!$A:$A,"&lt;="&amp;I16)</f>
        <v>0</v>
      </c>
      <c r="E16" s="18" t="n">
        <f aca="false">SUMIFS(Gastos!$H:$H,Gastos!$A:$A,"&gt;="&amp;H16,Gastos!$A:$A,"&lt;="&amp;I16)</f>
        <v>0</v>
      </c>
      <c r="F16" s="18" t="n">
        <f aca="false">D16-E16</f>
        <v>0</v>
      </c>
      <c r="H16" s="24" t="n">
        <f aca="false">DATE($B$4,10,1)</f>
        <v>46296</v>
      </c>
      <c r="I16" s="1" t="n">
        <f aca="false">EOMONTH(H16,0)</f>
        <v>46326</v>
      </c>
    </row>
    <row r="17" customFormat="false" ht="15" hidden="false" customHeight="true" outlineLevel="0" collapsed="false">
      <c r="A17" s="1" t="s">
        <v>51</v>
      </c>
      <c r="B17" s="18" t="n">
        <f aca="false">SUMIFS(Ingresos!$G:$G,Ingresos!$F:$F,"Sí",Ingresos!$A:$A,"&gt;="&amp;H17,Ingresos!$A:$A,"&lt;="&amp;I17)</f>
        <v>0</v>
      </c>
      <c r="C17" s="18" t="n">
        <f aca="false">SUMIFS(Ingresos!$G:$G,Ingresos!$F:$F,"No",Ingresos!$A:$A,"&gt;="&amp;H17,Ingresos!$A:$A,"&lt;="&amp;I17)</f>
        <v>0</v>
      </c>
      <c r="D17" s="18" t="n">
        <f aca="false">SUMIFS(Ingresos!$H:$H,Ingresos!$A:$A,"&gt;="&amp;H17,Ingresos!$A:$A,"&lt;="&amp;I17)</f>
        <v>0</v>
      </c>
      <c r="E17" s="18" t="n">
        <f aca="false">SUMIFS(Gastos!$H:$H,Gastos!$A:$A,"&gt;="&amp;H17,Gastos!$A:$A,"&lt;="&amp;I17)</f>
        <v>0</v>
      </c>
      <c r="F17" s="18" t="n">
        <f aca="false">D17-E17</f>
        <v>0</v>
      </c>
      <c r="H17" s="24" t="n">
        <f aca="false">DATE($B$4,11,1)</f>
        <v>46327</v>
      </c>
      <c r="I17" s="1" t="n">
        <f aca="false">EOMONTH(H17,0)</f>
        <v>46356</v>
      </c>
    </row>
    <row r="18" customFormat="false" ht="15" hidden="false" customHeight="true" outlineLevel="0" collapsed="false">
      <c r="A18" s="1" t="s">
        <v>52</v>
      </c>
      <c r="B18" s="18" t="n">
        <f aca="false">SUMIFS(Ingresos!$G:$G,Ingresos!$F:$F,"Sí",Ingresos!$A:$A,"&gt;="&amp;H18,Ingresos!$A:$A,"&lt;="&amp;I18)</f>
        <v>0</v>
      </c>
      <c r="C18" s="18" t="n">
        <f aca="false">SUMIFS(Ingresos!$G:$G,Ingresos!$F:$F,"No",Ingresos!$A:$A,"&gt;="&amp;H18,Ingresos!$A:$A,"&lt;="&amp;I18)</f>
        <v>0</v>
      </c>
      <c r="D18" s="18" t="n">
        <f aca="false">SUMIFS(Ingresos!$H:$H,Ingresos!$A:$A,"&gt;="&amp;H18,Ingresos!$A:$A,"&lt;="&amp;I18)</f>
        <v>0</v>
      </c>
      <c r="E18" s="18" t="n">
        <f aca="false">SUMIFS(Gastos!$H:$H,Gastos!$A:$A,"&gt;="&amp;H18,Gastos!$A:$A,"&lt;="&amp;I18)</f>
        <v>0</v>
      </c>
      <c r="F18" s="18" t="n">
        <f aca="false">D18-E18</f>
        <v>0</v>
      </c>
      <c r="H18" s="24" t="n">
        <f aca="false">DATE($B$4,12,1)</f>
        <v>46357</v>
      </c>
      <c r="I18" s="1" t="n">
        <f aca="false">EOMONTH(H18,0)</f>
        <v>46387</v>
      </c>
    </row>
    <row r="19" customFormat="false" ht="15" hidden="false" customHeight="true" outlineLevel="0" collapsed="false">
      <c r="A19" s="21" t="s">
        <v>53</v>
      </c>
      <c r="B19" s="25" t="n">
        <f aca="false">SUM(B7:B18)</f>
        <v>0</v>
      </c>
      <c r="C19" s="25" t="n">
        <f aca="false">SUM(C7:C18)</f>
        <v>0</v>
      </c>
      <c r="D19" s="25" t="n">
        <f aca="false">SUM(D7:D18)</f>
        <v>0</v>
      </c>
      <c r="E19" s="25" t="n">
        <f aca="false">SUM(E7:E18)</f>
        <v>0</v>
      </c>
      <c r="F19" s="25" t="n">
        <f aca="false">SUM(F7:F18)</f>
        <v>0</v>
      </c>
    </row>
    <row r="21" customFormat="false" ht="45" hidden="false" customHeight="true" outlineLevel="0" collapsed="false">
      <c r="A21" s="4" t="s">
        <v>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2" min="2" style="1" width="20"/>
  </cols>
  <sheetData>
    <row r="1" customFormat="false" ht="17.25" hidden="false" customHeight="true" outlineLevel="0" collapsed="false">
      <c r="A1" s="20" t="s">
        <v>62</v>
      </c>
    </row>
    <row r="2" customFormat="false" ht="15" hidden="false" customHeight="true" outlineLevel="0" collapsed="false">
      <c r="A2" s="21" t="s">
        <v>34</v>
      </c>
      <c r="B2" s="22" t="n">
        <v>2026</v>
      </c>
    </row>
    <row r="4" customFormat="false" ht="15" hidden="false" customHeight="true" outlineLevel="0" collapsed="false">
      <c r="A4" s="7" t="s">
        <v>63</v>
      </c>
    </row>
    <row r="5" customFormat="false" ht="15" hidden="false" customHeight="true" outlineLevel="0" collapsed="false">
      <c r="A5" s="1" t="s">
        <v>64</v>
      </c>
      <c r="B5" s="26" t="n">
        <f aca="false">SUMIFS(Ingresos!$G:$G,Ingresos!$A:$A,"&gt;="&amp;DATE($B$2,1,1),Ingresos!$A:$A,"&lt;="&amp;DATE($B$2,12,31))</f>
        <v>0</v>
      </c>
    </row>
    <row r="7" customFormat="false" ht="15" hidden="false" customHeight="true" outlineLevel="0" collapsed="false">
      <c r="A7" s="7" t="s">
        <v>65</v>
      </c>
    </row>
    <row r="8" customFormat="false" ht="15" hidden="false" customHeight="true" outlineLevel="0" collapsed="false">
      <c r="A8" s="13" t="s">
        <v>66</v>
      </c>
      <c r="B8" s="13" t="s">
        <v>29</v>
      </c>
    </row>
    <row r="9" customFormat="false" ht="15" hidden="false" customHeight="true" outlineLevel="0" collapsed="false">
      <c r="A9" s="1" t="s">
        <v>67</v>
      </c>
      <c r="B9" s="18" t="n">
        <f aca="false">SUMIFS(Gastos!$F:$F,Gastos!$D:$D,"Materiales y Suministros",Gastos!$A:$A,"&gt;="&amp;DATE($B$2,1,1),Gastos!$A:$A,"&lt;="&amp;DATE($B$2,12,31))</f>
        <v>0</v>
      </c>
    </row>
    <row r="10" customFormat="false" ht="15" hidden="false" customHeight="true" outlineLevel="0" collapsed="false">
      <c r="A10" s="1" t="s">
        <v>68</v>
      </c>
      <c r="B10" s="18" t="n">
        <f aca="false">SUMIFS(Gastos!$F:$F,Gastos!$D:$D,"Herramientas y Equipo",Gastos!$A:$A,"&gt;="&amp;DATE($B$2,1,1),Gastos!$A:$A,"&lt;="&amp;DATE($B$2,12,31))</f>
        <v>0</v>
      </c>
    </row>
    <row r="11" customFormat="false" ht="15" hidden="false" customHeight="true" outlineLevel="0" collapsed="false">
      <c r="A11" s="1" t="s">
        <v>69</v>
      </c>
      <c r="B11" s="18" t="n">
        <f aca="false">SUMIFS(Gastos!$F:$F,Gastos!$D:$D,"Mercadeo y Publicidad",Gastos!$A:$A,"&gt;="&amp;DATE($B$2,1,1),Gastos!$A:$A,"&lt;="&amp;DATE($B$2,12,31))</f>
        <v>0</v>
      </c>
    </row>
    <row r="12" customFormat="false" ht="15" hidden="false" customHeight="true" outlineLevel="0" collapsed="false">
      <c r="A12" s="1" t="s">
        <v>70</v>
      </c>
      <c r="B12" s="18" t="n">
        <f aca="false">SUMIFS(Gastos!$F:$F,Gastos!$D:$D,"Transporte y Millaje",Gastos!$A:$A,"&gt;="&amp;DATE($B$2,1,1),Gastos!$A:$A,"&lt;="&amp;DATE($B$2,12,31))</f>
        <v>0</v>
      </c>
    </row>
    <row r="13" customFormat="false" ht="15" hidden="false" customHeight="true" outlineLevel="0" collapsed="false">
      <c r="A13" s="1" t="s">
        <v>71</v>
      </c>
      <c r="B13" s="18" t="n">
        <f aca="false">SUMIFS(Gastos!$F:$F,Gastos!$D:$D,"Servicios Profesionales (contable/legal)",Gastos!$A:$A,"&gt;="&amp;DATE($B$2,1,1),Gastos!$A:$A,"&lt;="&amp;DATE($B$2,12,31))</f>
        <v>0</v>
      </c>
    </row>
    <row r="14" customFormat="false" ht="15" hidden="false" customHeight="true" outlineLevel="0" collapsed="false">
      <c r="A14" s="1" t="s">
        <v>72</v>
      </c>
      <c r="B14" s="18" t="n">
        <f aca="false">SUMIFS(Gastos!$F:$F,Gastos!$D:$D,"Renta y Utilidades",Gastos!$A:$A,"&gt;="&amp;DATE($B$2,1,1),Gastos!$A:$A,"&lt;="&amp;DATE($B$2,12,31))</f>
        <v>0</v>
      </c>
    </row>
    <row r="15" customFormat="false" ht="15" hidden="false" customHeight="true" outlineLevel="0" collapsed="false">
      <c r="A15" s="1" t="s">
        <v>73</v>
      </c>
      <c r="B15" s="18" t="n">
        <f aca="false">SUMIFS(Gastos!$F:$F,Gastos!$D:$D,"Empaque y Envío",Gastos!$A:$A,"&gt;="&amp;DATE($B$2,1,1),Gastos!$A:$A,"&lt;="&amp;DATE($B$2,12,31))</f>
        <v>0</v>
      </c>
    </row>
    <row r="16" customFormat="false" ht="15" hidden="false" customHeight="true" outlineLevel="0" collapsed="false">
      <c r="A16" s="1" t="s">
        <v>74</v>
      </c>
      <c r="B16" s="18" t="n">
        <f aca="false">SUMIFS(Gastos!$F:$F,Gastos!$D:$D,"Comisiones de Plataforma (Shopify/Etsy/pasarela de pago)",Gastos!$A:$A,"&gt;="&amp;DATE($B$2,1,1),Gastos!$A:$A,"&lt;="&amp;DATE($B$2,12,31))</f>
        <v>0</v>
      </c>
    </row>
    <row r="17" customFormat="false" ht="15" hidden="false" customHeight="true" outlineLevel="0" collapsed="false">
      <c r="A17" s="1" t="s">
        <v>75</v>
      </c>
      <c r="B17" s="18" t="n">
        <f aca="false">SUMIFS(Gastos!$F:$F,Gastos!$D:$D,"Seguros",Gastos!$A:$A,"&gt;="&amp;DATE($B$2,1,1),Gastos!$A:$A,"&lt;="&amp;DATE($B$2,12,31))</f>
        <v>0</v>
      </c>
    </row>
    <row r="18" customFormat="false" ht="15" hidden="false" customHeight="true" outlineLevel="0" collapsed="false">
      <c r="A18" s="1" t="s">
        <v>76</v>
      </c>
      <c r="B18" s="18" t="n">
        <f aca="false">SUMIFS(Gastos!$F:$F,Gastos!$D:$D,"Misceláneos",Gastos!$A:$A,"&gt;="&amp;DATE($B$2,1,1),Gastos!$A:$A,"&lt;="&amp;DATE($B$2,12,31))</f>
        <v>0</v>
      </c>
    </row>
    <row r="19" customFormat="false" ht="15" hidden="false" customHeight="true" outlineLevel="0" collapsed="false">
      <c r="A19" s="21" t="s">
        <v>77</v>
      </c>
      <c r="B19" s="25" t="n">
        <f aca="false">SUM(B9:B18)</f>
        <v>0</v>
      </c>
    </row>
    <row r="21" customFormat="false" ht="15" hidden="false" customHeight="true" outlineLevel="0" collapsed="false">
      <c r="A21" s="27" t="s">
        <v>78</v>
      </c>
      <c r="B21" s="28" t="n">
        <f aca="false">B5-B19</f>
        <v>0</v>
      </c>
    </row>
    <row r="23" customFormat="false" ht="109.5" hidden="false" customHeight="true" outlineLevel="0" collapsed="false">
      <c r="A23" s="4" t="s">
        <v>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2" min="2" style="1" width="70"/>
  </cols>
  <sheetData>
    <row r="1" customFormat="false" ht="17.25" hidden="false" customHeight="true" outlineLevel="0" collapsed="false">
      <c r="A1" s="20" t="s">
        <v>80</v>
      </c>
    </row>
    <row r="3" customFormat="false" ht="19.5" hidden="false" customHeight="true" outlineLevel="0" collapsed="false">
      <c r="A3" s="29" t="s">
        <v>81</v>
      </c>
      <c r="B3" s="30" t="s">
        <v>82</v>
      </c>
    </row>
    <row r="4" customFormat="false" ht="60" hidden="false" customHeight="true" outlineLevel="0" collapsed="false">
      <c r="A4" s="31" t="s">
        <v>83</v>
      </c>
      <c r="B4" s="6" t="s">
        <v>84</v>
      </c>
    </row>
    <row r="5" customFormat="false" ht="60" hidden="false" customHeight="true" outlineLevel="0" collapsed="false">
      <c r="A5" s="31" t="s">
        <v>85</v>
      </c>
      <c r="B5" s="6" t="s">
        <v>86</v>
      </c>
    </row>
    <row r="6" customFormat="false" ht="60" hidden="false" customHeight="true" outlineLevel="0" collapsed="false">
      <c r="A6" s="31" t="s">
        <v>87</v>
      </c>
      <c r="B6" s="6" t="s">
        <v>88</v>
      </c>
    </row>
    <row r="7" customFormat="false" ht="60" hidden="false" customHeight="true" outlineLevel="0" collapsed="false">
      <c r="A7" s="31" t="s">
        <v>89</v>
      </c>
      <c r="B7" s="6" t="s">
        <v>90</v>
      </c>
    </row>
    <row r="8" customFormat="false" ht="60" hidden="false" customHeight="true" outlineLevel="0" collapsed="false">
      <c r="A8" s="31" t="s">
        <v>91</v>
      </c>
      <c r="B8" s="6" t="s">
        <v>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2026-07-17T16:47:45Z</dcterms:created>
  <dc:creator>openpyxl</dc:creator>
  <dc:description/>
  <dc:language>en-US</dc:language>
  <cp:lastModifiedBy/>
  <dcterms:modified xsi:type="dcterms:W3CDTF">2026-07-19T22:23:21Z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